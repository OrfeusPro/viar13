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29093b45b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b245c944ae04096"/>
    <x:sheet xmlns:r="http://schemas.openxmlformats.org/officeDocument/2006/relationships" name="COM и PL — общий блок" sheetId="2" r:id="R26ea7ba6a4cd4413"/>
    <x:sheet xmlns:r="http://schemas.openxmlformats.org/officeDocument/2006/relationships" name="COM" sheetId="3" r:id="Rf702cd561bf64548"/>
    <x:sheet xmlns:r="http://schemas.openxmlformats.org/officeDocument/2006/relationships" name="COM+PL" sheetId="4" r:id="R445fe1e07f7040ee"/>
    <x:sheet xmlns:r="http://schemas.openxmlformats.org/officeDocument/2006/relationships" name="PL" sheetId="5" r:id="Rb0a13ebb5f6e4866"/>
    <x:sheet xmlns:r="http://schemas.openxmlformats.org/officeDocument/2006/relationships" name="Фронт" sheetId="6" r:id="Rf13f1e4bd0064d99"/>
    <x:sheet xmlns:r="http://schemas.openxmlformats.org/officeDocument/2006/relationships" name="Админка" sheetId="7" r:id="Rbbc464d5cb57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&quot; EUR&quot;"/>
    <x:numFmt numFmtId="201" formatCode="0.00&quot; ч&quot;"/>
    <x:numFmt numFmtId="202" formatCode="0"/>
    <x:numFmt numFmtId="203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34155"/>
      <x:name val="Carlito"/>
    </x:font>
    <x:font>
      <x:b/>
      <x:sz val="11"/>
      <x:name val="Carlito"/>
    </x:font>
    <x:font>
      <x:b/>
      <x:sz val="11"/>
      <x:color rgb="FF9A3412"/>
      <x:name val="Carlito"/>
    </x:font>
    <x:font>
      <x:b/>
      <x:sz val="11"/>
      <x:color rgb="FF0F172A"/>
      <x:name val="Carlito"/>
    </x:font>
    <x:font>
      <x:b/>
      <x:sz val="11"/>
      <x:color rgb="FF1E3A8A"/>
      <x:name val="Carlito"/>
    </x:font>
    <x:font>
      <x:i/>
      <x:sz val="10"/>
      <x:color rgb="FF475569"/>
      <x:name val="Carlito"/>
    </x:font>
    <x:font>
      <x:b/>
      <x:sz val="11"/>
      <x:color rgb="FF166534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EA580C"/>
      </x:patternFill>
    </x:fill>
    <x:fill>
      <x:patternFill patternType="solid">
        <x:fgColor rgb="FFFEF3C7"/>
      </x:patternFill>
    </x:fill>
    <x:fill>
      <x:patternFill patternType="solid">
        <x:fgColor rgb="FFFED7AA"/>
      </x:patternFill>
    </x:fill>
    <x:fill>
      <x:patternFill patternType="solid">
        <x:fgColor rgb="FFFFEDD5"/>
      </x:patternFill>
    </x:fill>
    <x:fill>
      <x:patternFill patternType="solid">
        <x:fgColor rgb="FFF59E0B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  <x:fill>
      <x:patternFill patternType="solid">
        <x:fgColor rgb="FFFB923C"/>
      </x:patternFill>
    </x:fill>
    <x:fill>
      <x:patternFill patternType="solid">
        <x:fgColor rgb="FFFBBF24"/>
      </x:patternFill>
    </x:fill>
    <x:fill>
      <x:patternFill patternType="solid">
        <x:fgColor rgb="FF0EA5E9"/>
      </x:patternFill>
    </x:fill>
    <x:fill>
      <x:patternFill patternType="solid">
        <x:fgColor rgb="FF6366F1"/>
      </x:patternFill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</x:fills>
  <x:borders count="28">
    <x:border/>
    <x:border>
      <x:bottom style="double">
        <x:color rgb="FFEA580C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bottom style="double">
        <x:color rgb="FF94A3B8"/>
      </x:bottom>
    </x:border>
    <x:border>
      <x:bottom style="double">
        <x:color rgb="FFF59E0B"/>
      </x:bottom>
    </x:border>
    <x:border>
      <x:bottom style="double">
        <x:color rgb="FFFB923C"/>
      </x:bottom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  <x:border>
      <x:bottom style="double">
        <x:color rgb="FFFBBF24"/>
      </x:bottom>
    </x:border>
    <x:border>
      <x:bottom style="double">
        <x:color rgb="FF0EA5E9"/>
      </x:bottom>
    </x:border>
    <x:border>
      <x:bottom style="double">
        <x:color rgb="FF6366F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double">
        <x:color rgb="FF64748B"/>
      </x:bottom>
    </x:border>
    <x:border>
      <x:bottom style="double">
        <x:color rgb="FF22C55E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0" borderId="3" xfId="0" applyNumberFormat="1" applyFont="1" applyFill="1" applyBorder="1"/>
    <x:xf numFmtId="0" fontId="4" fillId="0" borderId="6" xfId="0" applyNumberFormat="1" applyFont="1" applyFill="1" applyBorder="1"/>
    <x:xf numFmtId="0" fontId="4" fillId="0" borderId="9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9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1" xfId="0" applyNumberFormat="1" applyFont="1" applyFill="1" applyBorder="1"/>
    <x:xf numFmtId="0" fontId="5" fillId="7" borderId="11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 applyAlignment="1">
      <x:alignment horizontal="center" vertical="center"/>
    </x:xf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right"/>
    </x:xf>
    <x:xf numFmtId="200" fontId="0" fillId="0" borderId="4" xfId="0" applyNumberFormat="1" applyFont="1" applyFill="1" applyBorder="1" applyAlignment="1">
      <x:alignment horizontal="right"/>
    </x:xf>
    <x:xf numFmtId="202" fontId="0" fillId="0" borderId="6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2" fontId="0" fillId="0" borderId="9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200" fontId="0" fillId="0" borderId="9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201" fontId="5" fillId="8" borderId="12" xfId="0" applyNumberFormat="1" applyFont="1" applyFill="1" applyBorder="1"/>
    <x:xf numFmtId="200" fontId="5" fillId="8" borderId="12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5" fillId="8" borderId="13" xfId="0" applyNumberFormat="1" applyFont="1" applyFill="1" applyBorder="1"/>
    <x:xf numFmtId="201" fontId="5" fillId="8" borderId="13" xfId="0" applyNumberFormat="1" applyFont="1" applyFill="1" applyBorder="1"/>
    <x:xf numFmtId="200" fontId="5" fillId="8" borderId="13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202" fontId="0" fillId="0" borderId="15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202" fontId="0" fillId="0" borderId="15" xfId="0" applyNumberFormat="1" applyFont="1" applyFill="1" applyBorder="1" applyAlignment="1">
      <x:alignment horizontal="right"/>
    </x:xf>
    <x:xf numFmtId="0" fontId="0" fillId="0" borderId="15" xfId="0" applyNumberFormat="1" applyFont="1" applyFill="1" applyBorder="1" applyAlignment="1">
      <x:alignment horizontal="right"/>
    </x:xf>
    <x:xf numFmtId="200" fontId="0" fillId="0" borderId="15" xfId="0" applyNumberFormat="1" applyFont="1" applyFill="1" applyBorder="1" applyAlignment="1">
      <x:alignment horizontal="right"/>
    </x:xf>
    <x:xf numFmtId="200" fontId="0" fillId="0" borderId="16" xfId="0" applyNumberFormat="1" applyFont="1" applyFill="1" applyBorder="1" applyAlignment="1">
      <x:alignment horizontal="right"/>
    </x:xf>
    <x:xf numFmtId="0" fontId="5" fillId="8" borderId="17" xfId="0" applyNumberFormat="1" applyFont="1" applyFill="1" applyBorder="1"/>
    <x:xf numFmtId="201" fontId="5" fillId="8" borderId="17" xfId="0" applyNumberFormat="1" applyFont="1" applyFill="1" applyBorder="1"/>
    <x:xf numFmtId="200" fontId="5" fillId="8" borderId="17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left"/>
    </x:xf>
    <x:xf numFmtId="0" fontId="1" fillId="11" borderId="0" xfId="0" applyNumberFormat="1" applyFont="1" applyFill="1" applyBorder="1" applyAlignment="1">
      <x:alignment horizontal="left" vertical="center"/>
    </x:xf>
    <x:xf numFmtId="0" fontId="5" fillId="8" borderId="18" xfId="0" applyNumberFormat="1" applyFont="1" applyFill="1" applyBorder="1"/>
    <x:xf numFmtId="201" fontId="5" fillId="8" borderId="18" xfId="0" applyNumberFormat="1" applyFont="1" applyFill="1" applyBorder="1"/>
    <x:xf numFmtId="200" fontId="5" fillId="8" borderId="18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left"/>
    </x:xf>
    <x:xf numFmtId="0" fontId="1" fillId="12" borderId="0" xfId="0" applyNumberFormat="1" applyFont="1" applyFill="1" applyBorder="1" applyAlignment="1">
      <x:alignment horizontal="left" vertical="center"/>
    </x:xf>
    <x:xf numFmtId="0" fontId="5" fillId="8" borderId="19" xfId="0" applyNumberFormat="1" applyFont="1" applyFill="1" applyBorder="1"/>
    <x:xf numFmtId="201" fontId="5" fillId="8" borderId="19" xfId="0" applyNumberFormat="1" applyFont="1" applyFill="1" applyBorder="1"/>
    <x:xf numFmtId="200" fontId="5" fillId="8" borderId="19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left"/>
    </x:xf>
    <x:xf numFmtId="0" fontId="1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20" xfId="0" applyNumberFormat="1" applyFont="1" applyFill="1" applyBorder="1"/>
    <x:xf numFmtId="0" fontId="7" fillId="15" borderId="21" xfId="0" applyNumberFormat="1" applyFont="1" applyFill="1" applyBorder="1"/>
    <x:xf numFmtId="0" fontId="7" fillId="15" borderId="22" xfId="0" applyNumberFormat="1" applyFont="1" applyFill="1" applyBorder="1"/>
    <x:xf numFmtId="0" fontId="7" fillId="15" borderId="23" xfId="0" applyNumberFormat="1" applyFont="1" applyFill="1" applyBorder="1"/>
    <x:xf numFmtId="0" fontId="7" fillId="15" borderId="24" xfId="0" applyNumberFormat="1" applyFont="1" applyFill="1" applyBorder="1"/>
    <x:xf numFmtId="0" fontId="7" fillId="15" borderId="25" xfId="0" applyNumberFormat="1" applyFont="1" applyFill="1" applyBorder="1"/>
    <x:xf numFmtId="0" fontId="7" fillId="15" borderId="20" xfId="0" applyNumberFormat="1" applyFont="1" applyFill="1" applyBorder="1" applyAlignment="1">
      <x:alignment wrapText="1"/>
    </x:xf>
    <x:xf numFmtId="0" fontId="7" fillId="15" borderId="21" xfId="0" applyNumberFormat="1" applyFont="1" applyFill="1" applyBorder="1" applyAlignment="1">
      <x:alignment wrapText="1"/>
    </x:xf>
    <x:xf numFmtId="0" fontId="7" fillId="15" borderId="22" xfId="0" applyNumberFormat="1" applyFont="1" applyFill="1" applyBorder="1" applyAlignment="1">
      <x:alignment wrapText="1"/>
    </x:xf>
    <x:xf numFmtId="0" fontId="7" fillId="15" borderId="23" xfId="0" applyNumberFormat="1" applyFont="1" applyFill="1" applyBorder="1" applyAlignment="1">
      <x:alignment wrapText="1"/>
    </x:xf>
    <x:xf numFmtId="0" fontId="7" fillId="15" borderId="24" xfId="0" applyNumberFormat="1" applyFont="1" applyFill="1" applyBorder="1" applyAlignment="1">
      <x:alignment wrapText="1"/>
    </x:xf>
    <x:xf numFmtId="0" fontId="7" fillId="15" borderId="25" xfId="0" applyNumberFormat="1" applyFont="1" applyFill="1" applyBorder="1" applyAlignment="1">
      <x:alignment wrapText="1"/>
    </x:xf>
    <x:xf numFmtId="0" fontId="7" fillId="15" borderId="20" xfId="0" applyNumberFormat="1" applyFont="1" applyFill="1" applyBorder="1" applyAlignment="1">
      <x:alignment vertical="center" wrapText="1"/>
    </x:xf>
    <x:xf numFmtId="0" fontId="7" fillId="15" borderId="21" xfId="0" applyNumberFormat="1" applyFont="1" applyFill="1" applyBorder="1" applyAlignment="1">
      <x:alignment vertical="center" wrapText="1"/>
    </x:xf>
    <x:xf numFmtId="0" fontId="7" fillId="15" borderId="22" xfId="0" applyNumberFormat="1" applyFont="1" applyFill="1" applyBorder="1" applyAlignment="1">
      <x:alignment vertical="center" wrapText="1"/>
    </x:xf>
    <x:xf numFmtId="0" fontId="7" fillId="15" borderId="23" xfId="0" applyNumberFormat="1" applyFont="1" applyFill="1" applyBorder="1" applyAlignment="1">
      <x:alignment vertical="center" wrapText="1"/>
    </x:xf>
    <x:xf numFmtId="0" fontId="7" fillId="15" borderId="24" xfId="0" applyNumberFormat="1" applyFont="1" applyFill="1" applyBorder="1" applyAlignment="1">
      <x:alignment vertical="center" wrapText="1"/>
    </x:xf>
    <x:xf numFmtId="0" fontId="7" fillId="15" borderId="25" xfId="0" applyNumberFormat="1" applyFont="1" applyFill="1" applyBorder="1" applyAlignment="1">
      <x:alignment vertical="center" wrapText="1"/>
    </x:xf>
    <x:xf numFmtId="0" fontId="5" fillId="8" borderId="26" xfId="0" applyNumberFormat="1" applyFont="1" applyFill="1" applyBorder="1"/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27" xfId="0" applyNumberFormat="1" applyFont="1" applyFill="1" applyBorder="1"/>
    <x:xf numFmtId="201" fontId="0" fillId="0" borderId="0" xfId="0" applyNumberFormat="1" applyFont="1" applyFill="1" applyBorder="1"/>
    <x:xf numFmtId="201" fontId="5" fillId="8" borderId="26" xfId="0" applyNumberFormat="1" applyFont="1" applyFill="1" applyBorder="1"/>
    <x:xf numFmtId="201" fontId="6" fillId="14" borderId="0" xfId="0" applyNumberFormat="1" applyFont="1" applyFill="1" applyBorder="1"/>
    <x:xf numFmtId="201" fontId="5" fillId="7" borderId="11" xfId="0" applyNumberFormat="1" applyFont="1" applyFill="1" applyBorder="1" applyAlignment="1">
      <x:alignment horizontal="center"/>
    </x:xf>
    <x:xf numFmtId="201" fontId="8" fillId="16" borderId="27" xfId="0" applyNumberFormat="1" applyFont="1" applyFill="1" applyBorder="1"/>
    <x:xf numFmtId="200" fontId="0" fillId="0" borderId="0" xfId="0" applyNumberFormat="1" applyFont="1" applyFill="1" applyBorder="1"/>
    <x:xf numFmtId="200" fontId="5" fillId="8" borderId="26" xfId="0" applyNumberFormat="1" applyFont="1" applyFill="1" applyBorder="1"/>
    <x:xf numFmtId="200" fontId="6" fillId="14" borderId="0" xfId="0" applyNumberFormat="1" applyFont="1" applyFill="1" applyBorder="1"/>
    <x:xf numFmtId="200" fontId="5" fillId="7" borderId="11" xfId="0" applyNumberFormat="1" applyFont="1" applyFill="1" applyBorder="1" applyAlignment="1">
      <x:alignment horizontal="center"/>
    </x:xf>
    <x:xf numFmtId="200" fontId="8" fillId="16" borderId="27" xfId="0" applyNumberFormat="1" applyFont="1" applyFill="1" applyBorder="1"/>
    <x:xf numFmtId="203" fontId="0" fillId="0" borderId="0" xfId="0" applyNumberFormat="1" applyFont="1" applyFill="1" applyBorder="1"/>
    <x:xf numFmtId="203" fontId="5" fillId="8" borderId="26" xfId="0" applyNumberFormat="1" applyFont="1" applyFill="1" applyBorder="1"/>
    <x:xf numFmtId="203" fontId="6" fillId="14" borderId="0" xfId="0" applyNumberFormat="1" applyFont="1" applyFill="1" applyBorder="1"/>
    <x:xf numFmtId="203" fontId="5" fillId="7" borderId="11" xfId="0" applyNumberFormat="1" applyFont="1" applyFill="1" applyBorder="1" applyAlignment="1">
      <x:alignment horizontal="center"/>
    </x:xf>
    <x:xf numFmtId="203" fontId="8" fillId="16" borderId="2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25b9664e94ace" /><Relationship Type="http://schemas.openxmlformats.org/officeDocument/2006/relationships/theme" Target="/xl/theme/theme1.xml" Id="R74e205bb8a3a44c6" /><Relationship Type="http://schemas.openxmlformats.org/officeDocument/2006/relationships/sharedStrings" Target="/xl/sharedStrings.xml" Id="R921c973979ee487b" /><Relationship Type="http://schemas.openxmlformats.org/officeDocument/2006/relationships/worksheet" Target="/xl/worksheets/sheet1.xml" Id="Rbb245c944ae04096" /><Relationship Type="http://schemas.openxmlformats.org/officeDocument/2006/relationships/worksheet" Target="/xl/worksheets/sheet2.xml" Id="R26ea7ba6a4cd4413" /><Relationship Type="http://schemas.openxmlformats.org/officeDocument/2006/relationships/worksheet" Target="/xl/worksheets/sheet3.xml" Id="Rf702cd561bf64548" /><Relationship Type="http://schemas.openxmlformats.org/officeDocument/2006/relationships/worksheet" Target="/xl/worksheets/sheet4.xml" Id="R445fe1e07f7040ee" /><Relationship Type="http://schemas.openxmlformats.org/officeDocument/2006/relationships/worksheet" Target="/xl/worksheets/sheet5.xml" Id="Rb0a13ebb5f6e4866" /><Relationship Type="http://schemas.openxmlformats.org/officeDocument/2006/relationships/worksheet" Target="/xl/worksheets/sheet6.xml" Id="Rf13f1e4bd0064d99" /><Relationship Type="http://schemas.openxmlformats.org/officeDocument/2006/relationships/worksheet" Target="/xl/worksheets/sheet7.xml" Id="Rbbc464d5cb5740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9.200000762939453" hidden="0" customHeight="1">
      <x:c r="A1" s="119" t="str">
        <x:v>Группировка задач: время и стоимость</x:v>
      </x:c>
      <x:c r="B1" s="119"/>
      <x:c r="C1" s="119"/>
      <x:c r="D1" s="119"/>
      <x:c r="E1" s="119"/>
      <x:c r="F1" s="119"/>
    </x:row>
    <x:row r="2" ht="15" hidden="0" customHeight="1">
      <x:c r="A2" s="5" t="str">
        <x:v>Ставка, EUR/час</x:v>
      </x:c>
      <x:c r="B2" s="8" t="n">
        <x:v>16.75</x:v>
      </x:c>
    </x:row>
    <x:row r="3"/>
    <x:row r="4" ht="15" hidden="0" customHeight="1">
      <x:c r="A4" s="39" t="str">
        <x:v>ОТДЕЛЬНЫЙ БЛОК: COM. / COM+PL. / PL.</x:v>
      </x:c>
      <x:c r="B4" s="39"/>
      <x:c r="C4" s="39"/>
      <x:c r="D4" s="39"/>
      <x:c r="E4" s="39"/>
      <x:c r="F4" s="39"/>
    </x:row>
    <x:row r="5" ht="15" hidden="0" customHeight="1">
      <x:c r="A5" s="51" t="str">
        <x:v>Блок</x:v>
      </x:c>
      <x:c r="B5" s="51" t="str">
        <x:v>Задач</x:v>
      </x:c>
      <x:c r="C5" s="51" t="str">
        <x:v>Минуты</x:v>
      </x:c>
      <x:c r="D5" s="51" t="str">
        <x:v>Часы</x:v>
      </x:c>
      <x:c r="E5" s="51" t="str">
        <x:v>Стоимость</x:v>
      </x:c>
      <x:c r="F5" s="51" t="str">
        <x:v>Доля</x:v>
      </x:c>
    </x:row>
    <x:row r="6" ht="15" hidden="0" customHeight="1">
      <x:c r="A6" t="str">
        <x:v>COM.</x:v>
      </x:c>
      <x:c r="B6" t="n">
        <x:f>'COM'!B11</x:f>
        <x:v>6</x:v>
      </x:c>
      <x:c r="C6" t="n">
        <x:f>'COM'!C11</x:f>
        <x:v>155</x:v>
      </x:c>
      <x:c r="D6" s="146" t="n">
        <x:f>'COM'!D11</x:f>
        <x:v>2.5833333333333335</x:v>
      </x:c>
      <x:c r="E6" s="151" t="n">
        <x:f>'COM'!F11</x:f>
        <x:v>43.28</x:v>
      </x:c>
      <x:c r="F6" s="156" t="n">
        <x:f>E6/$E$17</x:f>
        <x:v>0.061180927609165846</x:v>
      </x:c>
    </x:row>
    <x:row r="7" ht="15" hidden="0" customHeight="1">
      <x:c r="A7" t="str">
        <x:v>COM+PL.</x:v>
      </x:c>
      <x:c r="B7" t="n">
        <x:f>'COM+PL'!B7</x:f>
        <x:v>2</x:v>
      </x:c>
      <x:c r="C7" t="n">
        <x:f>'COM+PL'!C7</x:f>
        <x:v>124</x:v>
      </x:c>
      <x:c r="D7" s="146" t="n">
        <x:f>'COM+PL'!D7</x:f>
        <x:v>2.066666666666667</x:v>
      </x:c>
      <x:c r="E7" s="151" t="n">
        <x:f>'COM+PL'!F7</x:f>
        <x:v>34.620000000000005</x:v>
      </x:c>
      <x:c r="F7" s="156" t="n">
        <x:f>E7/$E$17</x:f>
        <x:v>0.048939087657793943</x:v>
      </x:c>
    </x:row>
    <x:row r="8" ht="15" hidden="0" customHeight="1">
      <x:c r="A8" t="str">
        <x:v>PL.</x:v>
      </x:c>
      <x:c r="B8" t="n">
        <x:f>'PL'!B6</x:f>
        <x:v>1</x:v>
      </x:c>
      <x:c r="C8" t="n">
        <x:f>'PL'!C6</x:f>
        <x:v>38</x:v>
      </x:c>
      <x:c r="D8" s="146" t="n">
        <x:f>'PL'!D6</x:f>
        <x:v>0.6333333333333333</x:v>
      </x:c>
      <x:c r="E8" s="151" t="n">
        <x:f>'PL'!F6</x:f>
        <x:v>10.61</x:v>
      </x:c>
      <x:c r="F8" s="156" t="n">
        <x:f>E8/$E$17</x:f>
        <x:v>0.014998374351507615</x:v>
      </x:c>
    </x:row>
    <x:row r="9" ht="15" hidden="0" customHeight="1">
      <x:c r="A9" s="142" t="str">
        <x:v>ИТОГО COM / COM+PL / PL</x:v>
      </x:c>
      <x:c r="B9" s="142" t="n">
        <x:f>SUM(B6:B8)</x:f>
        <x:v>9</x:v>
      </x:c>
      <x:c r="C9" s="142" t="n">
        <x:f>SUM(C6:C8)</x:f>
        <x:v>317</x:v>
      </x:c>
      <x:c r="D9" s="147" t="n">
        <x:f>SUM(D6:D8)</x:f>
        <x:v>5.283333333333333</x:v>
      </x:c>
      <x:c r="E9" s="152" t="n">
        <x:f>SUM(E6:E8)</x:f>
        <x:v>88.51</x:v>
      </x:c>
      <x:c r="F9" s="157" t="n">
        <x:f>E9/$E$17</x:f>
        <x:v>0.1251183896184674</x:v>
      </x:c>
    </x:row>
    <x:row r="10" ht="15" hidden="0" customHeight="1">
      <x:c r="D10" s="146"/>
      <x:c r="E10" s="151"/>
      <x:c r="F10" s="156"/>
    </x:row>
    <x:row r="11" ht="15" hidden="0" customHeight="1">
      <x:c r="A11" s="121" t="str">
        <x:v>Другие задачи: фронт и админка</x:v>
      </x:c>
      <x:c r="B11" s="121"/>
      <x:c r="C11" s="121"/>
      <x:c r="D11" s="148"/>
      <x:c r="E11" s="153"/>
      <x:c r="F11" s="158"/>
    </x:row>
    <x:row r="12" ht="15" hidden="0" customHeight="1">
      <x:c r="A12" s="51" t="str">
        <x:v>Блок</x:v>
      </x:c>
      <x:c r="B12" s="51" t="str">
        <x:v>Задач</x:v>
      </x:c>
      <x:c r="C12" s="51" t="str">
        <x:v>Минуты</x:v>
      </x:c>
      <x:c r="D12" s="149" t="str">
        <x:v>Часы</x:v>
      </x:c>
      <x:c r="E12" s="154" t="str">
        <x:v>Стоимость</x:v>
      </x:c>
      <x:c r="F12" s="159" t="str">
        <x:v>Доля</x:v>
      </x:c>
    </x:row>
    <x:row r="13" ht="15" hidden="0" customHeight="1">
      <x:c r="A13" t="str">
        <x:v>Фронт</x:v>
      </x:c>
      <x:c r="B13" t="n">
        <x:f>'Фронт'!B29</x:f>
        <x:v>24</x:v>
      </x:c>
      <x:c r="C13" t="n">
        <x:f>'Фронт'!C29</x:f>
        <x:v>1001</x:v>
      </x:c>
      <x:c r="D13" s="146" t="n">
        <x:f>'Фронт'!D29</x:f>
        <x:v>16.683333333333334</x:v>
      </x:c>
      <x:c r="E13" s="151" t="n">
        <x:f>'Фронт'!F29</x:f>
        <x:v>279.44</x:v>
      </x:c>
      <x:c r="F13" s="156" t="n">
        <x:f>E13/$E$17</x:f>
        <x:v>0.3950184475763702</x:v>
      </x:c>
    </x:row>
    <x:row r="14" ht="15" hidden="0" customHeight="1">
      <x:c r="A14" t="str">
        <x:v>Админка и техническая миграция</x:v>
      </x:c>
      <x:c r="B14" t="n">
        <x:f>'Админка'!B36</x:f>
        <x:v>31</x:v>
      </x:c>
      <x:c r="C14" t="n">
        <x:f>'Админка'!C36</x:f>
        <x:v>1216</x:v>
      </x:c>
      <x:c r="D14" s="146" t="n">
        <x:f>'Админка'!D36</x:f>
        <x:v>20.266666666666666</x:v>
      </x:c>
      <x:c r="E14" s="151" t="n">
        <x:f>'Админка'!F36</x:f>
        <x:v>339.4599999999999</x:v>
      </x:c>
      <x:c r="F14" s="156" t="n">
        <x:f>E14/$E$17</x:f>
        <x:v>0.4798631628051625</x:v>
      </x:c>
    </x:row>
    <x:row r="15" ht="15" hidden="0" customHeight="1">
      <x:c r="A15" s="142" t="str">
        <x:v>ИТОГО ФРОНТ И АДМИНКА</x:v>
      </x:c>
      <x:c r="B15" s="142" t="n">
        <x:f>SUM(B13:B14)</x:f>
        <x:v>55</x:v>
      </x:c>
      <x:c r="C15" s="142" t="n">
        <x:f>SUM(C13:C14)</x:f>
        <x:v>2217</x:v>
      </x:c>
      <x:c r="D15" s="147" t="n">
        <x:f>SUM(D13:D14)</x:f>
        <x:v>36.95</x:v>
      </x:c>
      <x:c r="E15" s="152" t="n">
        <x:f>SUM(E13:E14)</x:f>
        <x:v>618.8999999999999</x:v>
      </x:c>
      <x:c r="F15" s="157" t="n">
        <x:f>E15/$E$17</x:f>
        <x:v>0.8748816103815327</x:v>
      </x:c>
    </x:row>
    <x:row r="16" ht="15" hidden="0" customHeight="1">
      <x:c r="D16" s="146"/>
      <x:c r="E16" s="151"/>
      <x:c r="F16" s="156"/>
    </x:row>
    <x:row r="17" ht="15" hidden="0" customHeight="1">
      <x:c r="A17" s="145" t="str">
        <x:v>ОБЩИЙ ИТОГ</x:v>
      </x:c>
      <x:c r="B17" s="145" t="n">
        <x:f>B9+B15</x:f>
        <x:v>64</x:v>
      </x:c>
      <x:c r="C17" s="145" t="n">
        <x:f>C9+C15</x:f>
        <x:v>2534</x:v>
      </x:c>
      <x:c r="D17" s="150" t="n">
        <x:f>D9+D15</x:f>
        <x:v>42.233333333333334</x:v>
      </x:c>
      <x:c r="E17" s="155" t="n">
        <x:f>E9+E15</x:f>
        <x:v>707.4099999999999</x:v>
      </x:c>
      <x:c r="F17" s="160" t="n">
        <x:f>1</x:f>
        <x:v>1</x:v>
      </x:c>
    </x:row>
    <x:row r="18"/>
    <x:row r="19">
      <x:c r="A19" s="136" t="str">
        <x:v>Примечание: стоимость каждой задачи взята из исходного табеля. Итоги являются суммой уже округлённых до центов строк; ставка 16,75 EUR/час указана для контроля.</x:v>
      </x:c>
      <x:c r="B19" s="137"/>
      <x:c r="C19" s="137"/>
      <x:c r="D19" s="137"/>
      <x:c r="E19" s="137"/>
      <x:c r="F19" s="138"/>
    </x:row>
    <x:row r="20">
      <x:c r="A20" s="139"/>
      <x:c r="B20" s="140"/>
      <x:c r="C20" s="140"/>
      <x:c r="D20" s="140"/>
      <x:c r="E20" s="140"/>
      <x:c r="F20" s="141"/>
    </x:row>
  </x:sheetData>
  <x:mergeCells>
    <x:mergeCell ref="A1:F1"/>
    <x:mergeCell ref="A4:F4"/>
    <x:mergeCell ref="A11:F11"/>
    <x:mergeCell ref="A19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78" hidden="0" customWidth="1"/>
    <x:col min="4" max="4" width="11" hidden="0" customWidth="1"/>
    <x:col min="5" max="5" width="16" hidden="0" customWidth="1"/>
    <x:col min="6" max="6" width="15" hidden="0" customWidth="1"/>
    <x:col min="7" max="7" width="15" hidden="0" customWidth="1"/>
  </x:cols>
  <x:sheetData>
    <x:row r="1" ht="30" customHeight="1">
      <x:c r="A1" s="4" t="str">
        <x:v>ОТДЕЛЬНЫЙ БЛОК: COM. / COM+PL. / PL.</x:v>
      </x:c>
      <x:c r="B1" s="4"/>
      <x:c r="C1" s="4"/>
      <x:c r="D1" s="4"/>
      <x:c r="E1" s="4"/>
      <x:c r="F1" s="4"/>
      <x:c r="G1" s="4"/>
    </x:row>
    <x:row r="2">
      <x:c r="A2" s="5" t="str">
        <x:v>Ставка, EUR/час</x:v>
      </x:c>
      <x:c r="B2" s="5"/>
      <x:c r="C2" s="5"/>
      <x:c r="D2" s="5"/>
      <x:c r="E2" s="5"/>
      <x:c r="F2" s="9" t="n">
        <x:v>16.75</x:v>
      </x:c>
      <x:c r="G2" s="9"/>
    </x:row>
    <x:row r="4" ht="15" hidden="0" customHeight="1">
      <x:c r="A4" s="13" t="str">
        <x:v>№</x:v>
      </x:c>
      <x:c r="B4" s="13" t="str">
        <x:v>Подблок</x:v>
      </x:c>
      <x:c r="C4" s="13" t="str">
        <x:v>Название задачи</x:v>
      </x:c>
      <x:c r="D4" s="13" t="str">
        <x:v>Минуты</x:v>
      </x:c>
      <x:c r="E4" s="13" t="str">
        <x:v>Длительность</x:v>
      </x:c>
      <x:c r="F4" s="13" t="str">
        <x:v>Ставка</x:v>
      </x:c>
      <x:c r="G4" s="13" t="str">
        <x:v>Стоимость</x:v>
      </x:c>
    </x:row>
    <x:row r="5" ht="15" hidden="0" customHeight="1">
      <x:c r="A5" s="14" t="n">
        <x:v>1</x:v>
      </x:c>
      <x:c r="B5" s="26" t="str">
        <x:v>COM.</x:v>
      </x:c>
      <x:c r="C5" s="29" t="str">
        <x:v>COM. Express согласование сортировки</x:v>
      </x:c>
      <x:c r="D5" s="15" t="n">
        <x:v>62</x:v>
      </x:c>
      <x:c r="E5" s="15" t="str">
        <x:v>1 ч 02 мин</x:v>
      </x:c>
      <x:c r="F5" s="32" t="n">
        <x:v>16.75</x:v>
      </x:c>
      <x:c r="G5" s="33" t="n">
        <x:v>17.31</x:v>
      </x:c>
    </x:row>
    <x:row r="6" ht="15" hidden="0" customHeight="1">
      <x:c r="A6" s="17" t="n">
        <x:v>2</x:v>
      </x:c>
      <x:c r="B6" s="27" t="str">
        <x:v>COM.</x:v>
      </x:c>
      <x:c r="C6" s="30" t="str">
        <x:v>COM. Добрый день у клиента глюк с вводом телефоного номера</x:v>
      </x:c>
      <x:c r="D6" s="18" t="n">
        <x:v>18</x:v>
      </x:c>
      <x:c r="E6" s="18" t="str">
        <x:v>18 мин</x:v>
      </x:c>
      <x:c r="F6" s="34" t="n">
        <x:v>16.75</x:v>
      </x:c>
      <x:c r="G6" s="35" t="n">
        <x:v>5.03</x:v>
      </x:c>
    </x:row>
    <x:row r="7" ht="26.399999618530273" hidden="0" customHeight="1">
      <x:c r="A7" s="17" t="n">
        <x:v>3</x:v>
      </x:c>
      <x:c r="B7" s="27" t="str">
        <x:v>COM.</x:v>
      </x:c>
      <x:c r="C7" s="30" t="str">
        <x:v>COM. Клиент написал -чера я не сиог оплатить через сайт, т.к. эпл пей выдовал ошибку- эта проблема постоянно</x:v>
      </x:c>
      <x:c r="D7" s="18" t="n">
        <x:v>13</x:v>
      </x:c>
      <x:c r="E7" s="18" t="str">
        <x:v>13 мин</x:v>
      </x:c>
      <x:c r="F7" s="34" t="n">
        <x:v>16.75</x:v>
      </x:c>
      <x:c r="G7" s="35" t="n">
        <x:v>3.63</x:v>
      </x:c>
    </x:row>
    <x:row r="8" ht="26.399999618530273" hidden="0" customHeight="1">
      <x:c r="A8" s="17" t="n">
        <x:v>4</x:v>
      </x:c>
      <x:c r="B8" s="27" t="str">
        <x:v>COM.</x:v>
      </x:c>
      <x:c r="C8" s="30" t="str">
        <x:v>COM. Можете добавить текст под H2, чтобы видел бот, но без вывода на мобильном. по сути и на ПК тоже не обязательно для пользователя показывать</x:v>
      </x:c>
      <x:c r="D8" s="18" t="n">
        <x:v>13</x:v>
      </x:c>
      <x:c r="E8" s="18" t="str">
        <x:v>13 мин</x:v>
      </x:c>
      <x:c r="F8" s="34" t="n">
        <x:v>16.75</x:v>
      </x:c>
      <x:c r="G8" s="35" t="n">
        <x:v>3.63</x:v>
      </x:c>
    </x:row>
    <x:row r="9" ht="15" hidden="0" customHeight="1">
      <x:c r="A9" s="17" t="n">
        <x:v>5</x:v>
      </x:c>
      <x:c r="B9" s="27" t="str">
        <x:v>COM.</x:v>
      </x:c>
      <x:c r="C9" s="30" t="str">
        <x:v>COM. Проверка заказа 18220, размеры не правильно указал менеджер, через символ *</x:v>
      </x:c>
      <x:c r="D9" s="18" t="n">
        <x:v>19</x:v>
      </x:c>
      <x:c r="E9" s="18" t="str">
        <x:v>19 мин</x:v>
      </x:c>
      <x:c r="F9" s="34" t="n">
        <x:v>16.75</x:v>
      </x:c>
      <x:c r="G9" s="35" t="n">
        <x:v>5.3</x:v>
      </x:c>
    </x:row>
    <x:row r="10" ht="15" hidden="0" customHeight="1">
      <x:c r="A10" s="17" t="n">
        <x:v>6</x:v>
      </x:c>
      <x:c r="B10" s="27" t="str">
        <x:v>COM.</x:v>
      </x:c>
      <x:c r="C10" s="30" t="str">
        <x:v>COM. Увеличение лимитов на сервере для загрузки фотографий</x:v>
      </x:c>
      <x:c r="D10" s="18" t="n">
        <x:v>30</x:v>
      </x:c>
      <x:c r="E10" s="18" t="str">
        <x:v>30 мин</x:v>
      </x:c>
      <x:c r="F10" s="34" t="n">
        <x:v>16.75</x:v>
      </x:c>
      <x:c r="G10" s="35" t="n">
        <x:v>8.38</x:v>
      </x:c>
    </x:row>
    <x:row r="11" ht="15" hidden="0" customHeight="1">
      <x:c r="A11" s="17" t="n">
        <x:v>7</x:v>
      </x:c>
      <x:c r="B11" s="27" t="str">
        <x:v>COM+PL.</x:v>
      </x:c>
      <x:c r="C11" s="30" t="str">
        <x:v>COM+PL. G1 - подарочная бумага не отображается в коде в коллажах</x:v>
      </x:c>
      <x:c r="D11" s="18" t="n">
        <x:v>35</x:v>
      </x:c>
      <x:c r="E11" s="18" t="str">
        <x:v>35 мин</x:v>
      </x:c>
      <x:c r="F11" s="34" t="n">
        <x:v>16.75</x:v>
      </x:c>
      <x:c r="G11" s="35" t="n">
        <x:v>9.77</x:v>
      </x:c>
    </x:row>
    <x:row r="12" ht="26.399999618530273" hidden="0" customHeight="1">
      <x:c r="A12" s="17" t="n">
        <x:v>8</x:v>
      </x:c>
      <x:c r="B12" s="27" t="str">
        <x:v>COM+PL.</x:v>
      </x:c>
      <x:c r="C12" s="30" t="str">
        <x:v>COM+PL. Можно ли отметку "izpildes veids: uz papīra (ierāmēts))" отмечать в коде под B2? - N0000-1_0x0-x1_e0_pi_LV_s_l0_g0_p0_**B2**_v1</x:v>
      </x:c>
      <x:c r="D12" s="18" t="n">
        <x:v>89</x:v>
      </x:c>
      <x:c r="E12" s="18" t="str">
        <x:v>1 ч 29 мин</x:v>
      </x:c>
      <x:c r="F12" s="34" t="n">
        <x:v>16.75</x:v>
      </x:c>
      <x:c r="G12" s="35" t="n">
        <x:v>24.85</x:v>
      </x:c>
    </x:row>
    <x:row r="13" ht="15" hidden="0" customHeight="1">
      <x:c r="A13" s="20" t="n">
        <x:v>9</x:v>
      </x:c>
      <x:c r="B13" s="28" t="str">
        <x:v>PL.</x:v>
      </x:c>
      <x:c r="C13" s="31" t="str">
        <x:v>PL. Есть возможность сменить на польском сайте аккаунт для отзывов?</x:v>
      </x:c>
      <x:c r="D13" s="21" t="n">
        <x:v>38</x:v>
      </x:c>
      <x:c r="E13" s="21" t="str">
        <x:v>38 мин</x:v>
      </x:c>
      <x:c r="F13" s="36" t="n">
        <x:v>16.75</x:v>
      </x:c>
      <x:c r="G13" s="37" t="n">
        <x:v>10.61</x:v>
      </x:c>
    </x:row>
    <x:row r="14" ht="15" hidden="0" customHeight="1">
      <x:c r="A14" s="40" t="str">
        <x:v>ИТОГО БЛОКА</x:v>
      </x:c>
      <x:c r="B14" s="40" t="n">
        <x:f>COUNTA(C5:C13)</x:f>
        <x:v>9</x:v>
      </x:c>
      <x:c r="C14" s="40"/>
      <x:c r="D14" s="40" t="n">
        <x:f>SUM(D5:D13)</x:f>
        <x:v>317</x:v>
      </x:c>
      <x:c r="E14" s="41" t="n">
        <x:f>D14/60</x:f>
        <x:v>5.283333333333333</x:v>
      </x:c>
      <x:c r="F14" s="40"/>
      <x:c r="G14" s="42" t="n">
        <x:f>SUM(G5:G13)</x:f>
        <x:v>88.51</x:v>
      </x:c>
    </x:row>
  </x:sheetData>
  <x:mergeCells>
    <x:mergeCell ref="A1:G1"/>
    <x:mergeCell ref="A2:E2"/>
    <x:mergeCell ref="F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2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</x:cols>
  <x:sheetData>
    <x:row r="1" ht="30" customHeight="1">
      <x:c r="A1" s="46" t="str">
        <x:v>COM.</x:v>
      </x:c>
      <x:c r="B1" s="46"/>
      <x:c r="C1" s="46"/>
      <x:c r="D1" s="46"/>
      <x:c r="E1" s="46"/>
      <x:c r="F1" s="46"/>
    </x:row>
    <x:row r="2">
      <x:c r="A2" s="47" t="str">
        <x:v>Ставка, EUR/час</x:v>
      </x:c>
      <x:c r="B2" s="47"/>
      <x:c r="C2" s="47"/>
      <x:c r="D2" s="47"/>
      <x:c r="E2" s="9" t="n">
        <x:v>16.75</x:v>
      </x:c>
      <x:c r="F2" s="9"/>
    </x:row>
    <x:row r="4" ht="15" hidden="0" customHeight="1">
      <x:c r="A4" s="52" t="str">
        <x:v>№</x:v>
      </x:c>
      <x:c r="B4" s="52" t="str">
        <x:v>Название задачи</x:v>
      </x:c>
      <x:c r="C4" s="52" t="str">
        <x:v>Минуты</x:v>
      </x:c>
      <x:c r="D4" s="52" t="str">
        <x:v>Длительность</x:v>
      </x:c>
      <x:c r="E4" s="52" t="str">
        <x:v>Ставка</x:v>
      </x:c>
      <x:c r="F4" s="52" t="str">
        <x:v>Стоимость</x:v>
      </x:c>
    </x:row>
    <x:row r="5" ht="15" hidden="0" customHeight="1">
      <x:c r="A5" s="56" t="n">
        <x:v>1</x:v>
      </x:c>
      <x:c r="B5" s="29" t="str">
        <x:v>COM. Express согласование сортировки</x:v>
      </x:c>
      <x:c r="C5" s="59" t="n">
        <x:v>62</x:v>
      </x:c>
      <x:c r="D5" s="60" t="str">
        <x:v>1 ч 02 мин</x:v>
      </x:c>
      <x:c r="E5" s="61" t="n">
        <x:v>16.75</x:v>
      </x:c>
      <x:c r="F5" s="62" t="n">
        <x:v>17.31</x:v>
      </x:c>
    </x:row>
    <x:row r="6" ht="15" hidden="0" customHeight="1">
      <x:c r="A6" s="57" t="n">
        <x:v>2</x:v>
      </x:c>
      <x:c r="B6" s="30" t="str">
        <x:v>COM. Добрый день у клиента глюк с вводом телефоного номера</x:v>
      </x:c>
      <x:c r="C6" s="63" t="n">
        <x:v>18</x:v>
      </x:c>
      <x:c r="D6" s="64" t="str">
        <x:v>18 мин</x:v>
      </x:c>
      <x:c r="E6" s="65" t="n">
        <x:v>16.75</x:v>
      </x:c>
      <x:c r="F6" s="66" t="n">
        <x:v>5.03</x:v>
      </x:c>
    </x:row>
    <x:row r="7" ht="26.399999618530273" hidden="0" customHeight="1">
      <x:c r="A7" s="57" t="n">
        <x:v>3</x:v>
      </x:c>
      <x:c r="B7" s="30" t="str">
        <x:v>COM. Клиент написал -чера я не сиог оплатить через сайт, т.к. эпл пей выдовал ошибку- эта проблема постоянно</x:v>
      </x:c>
      <x:c r="C7" s="63" t="n">
        <x:v>13</x:v>
      </x:c>
      <x:c r="D7" s="64" t="str">
        <x:v>13 мин</x:v>
      </x:c>
      <x:c r="E7" s="65" t="n">
        <x:v>16.75</x:v>
      </x:c>
      <x:c r="F7" s="66" t="n">
        <x:v>3.63</x:v>
      </x:c>
    </x:row>
    <x:row r="8" ht="26.399999618530273" hidden="0" customHeight="1">
      <x:c r="A8" s="57" t="n">
        <x:v>4</x:v>
      </x:c>
      <x:c r="B8" s="30" t="str">
        <x:v>COM. Можете добавить текст под H2, чтобы видел бот, но без вывода на мобильном. по сути и на ПК тоже не обязательно для пользователя показывать</x:v>
      </x:c>
      <x:c r="C8" s="63" t="n">
        <x:v>13</x:v>
      </x:c>
      <x:c r="D8" s="64" t="str">
        <x:v>13 мин</x:v>
      </x:c>
      <x:c r="E8" s="65" t="n">
        <x:v>16.75</x:v>
      </x:c>
      <x:c r="F8" s="66" t="n">
        <x:v>3.63</x:v>
      </x:c>
    </x:row>
    <x:row r="9" ht="15" hidden="0" customHeight="1">
      <x:c r="A9" s="57" t="n">
        <x:v>5</x:v>
      </x:c>
      <x:c r="B9" s="30" t="str">
        <x:v>COM. Проверка заказа 18220, размеры не правильно указал менеджер, через символ *</x:v>
      </x:c>
      <x:c r="C9" s="63" t="n">
        <x:v>19</x:v>
      </x:c>
      <x:c r="D9" s="64" t="str">
        <x:v>19 мин</x:v>
      </x:c>
      <x:c r="E9" s="65" t="n">
        <x:v>16.75</x:v>
      </x:c>
      <x:c r="F9" s="66" t="n">
        <x:v>5.3</x:v>
      </x:c>
    </x:row>
    <x:row r="10" ht="15" hidden="0" customHeight="1">
      <x:c r="A10" s="58" t="n">
        <x:v>6</x:v>
      </x:c>
      <x:c r="B10" s="31" t="str">
        <x:v>COM. Увеличение лимитов на сервере для загрузки фотографий</x:v>
      </x:c>
      <x:c r="C10" s="67" t="n">
        <x:v>30</x:v>
      </x:c>
      <x:c r="D10" s="68" t="str">
        <x:v>30 мин</x:v>
      </x:c>
      <x:c r="E10" s="69" t="n">
        <x:v>16.75</x:v>
      </x:c>
      <x:c r="F10" s="70" t="n">
        <x:v>8.38</x:v>
      </x:c>
    </x:row>
    <x:row r="11" ht="15" hidden="0" customHeight="1">
      <x:c r="A11" s="73" t="str">
        <x:v>ИТОГО</x:v>
      </x:c>
      <x:c r="B11" s="73" t="n">
        <x:f>COUNTA(B5:B10)</x:f>
        <x:v>6</x:v>
      </x:c>
      <x:c r="C11" s="73" t="n">
        <x:f>SUM(C5:C10)</x:f>
        <x:v>155</x:v>
      </x:c>
      <x:c r="D11" s="74" t="n">
        <x:f>C11/60</x:f>
        <x:v>2.5833333333333335</x:v>
      </x:c>
      <x:c r="E11" s="73"/>
      <x:c r="F11" s="75" t="n">
        <x:f>SUM(F5:F10)</x:f>
        <x:v>43.28</x:v>
      </x:c>
    </x:row>
  </x:sheetData>
  <x:mergeCells>
    <x:mergeCell ref="A1:F1"/>
    <x:mergeCell ref="A2:D2"/>
    <x:mergeCell ref="E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2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</x:cols>
  <x:sheetData>
    <x:row r="1" ht="30" customHeight="1">
      <x:c r="A1" s="79" t="str">
        <x:v>COM+PL.</x:v>
      </x:c>
      <x:c r="B1" s="79"/>
      <x:c r="C1" s="79"/>
      <x:c r="D1" s="79"/>
      <x:c r="E1" s="79"/>
      <x:c r="F1" s="79"/>
    </x:row>
    <x:row r="2">
      <x:c r="A2" s="47" t="str">
        <x:v>Ставка, EUR/час</x:v>
      </x:c>
      <x:c r="B2" s="47"/>
      <x:c r="C2" s="47"/>
      <x:c r="D2" s="47"/>
      <x:c r="E2" s="9" t="n">
        <x:v>16.75</x:v>
      </x:c>
      <x:c r="F2" s="9"/>
    </x:row>
    <x:row r="4" ht="15" hidden="0" customHeight="1">
      <x:c r="A4" s="52" t="str">
        <x:v>№</x:v>
      </x:c>
      <x:c r="B4" s="52" t="str">
        <x:v>Название задачи</x:v>
      </x:c>
      <x:c r="C4" s="52" t="str">
        <x:v>Минуты</x:v>
      </x:c>
      <x:c r="D4" s="52" t="str">
        <x:v>Длительность</x:v>
      </x:c>
      <x:c r="E4" s="52" t="str">
        <x:v>Ставка</x:v>
      </x:c>
      <x:c r="F4" s="52" t="str">
        <x:v>Стоимость</x:v>
      </x:c>
    </x:row>
    <x:row r="5" ht="15" hidden="0" customHeight="1">
      <x:c r="A5" s="56" t="n">
        <x:v>1</x:v>
      </x:c>
      <x:c r="B5" s="29" t="str">
        <x:v>COM+PL. G1 - подарочная бумага не отображается в коде в коллажах</x:v>
      </x:c>
      <x:c r="C5" s="59" t="n">
        <x:v>35</x:v>
      </x:c>
      <x:c r="D5" s="60" t="str">
        <x:v>35 мин</x:v>
      </x:c>
      <x:c r="E5" s="61" t="n">
        <x:v>16.75</x:v>
      </x:c>
      <x:c r="F5" s="62" t="n">
        <x:v>9.77</x:v>
      </x:c>
    </x:row>
    <x:row r="6" ht="26.399999618530273" hidden="0" customHeight="1">
      <x:c r="A6" s="58" t="n">
        <x:v>2</x:v>
      </x:c>
      <x:c r="B6" s="31" t="str">
        <x:v>COM+PL. Можно ли отметку "izpildes veids: uz papīra (ierāmēts))" отмечать в коде под B2? - N0000-1_0x0-x1_e0_pi_LV_s_l0_g0_p0_**B2**_v1</x:v>
      </x:c>
      <x:c r="C6" s="67" t="n">
        <x:v>89</x:v>
      </x:c>
      <x:c r="D6" s="68" t="str">
        <x:v>1 ч 29 мин</x:v>
      </x:c>
      <x:c r="E6" s="69" t="n">
        <x:v>16.75</x:v>
      </x:c>
      <x:c r="F6" s="70" t="n">
        <x:v>24.85</x:v>
      </x:c>
    </x:row>
    <x:row r="7" ht="15" hidden="0" customHeight="1">
      <x:c r="A7" s="80" t="str">
        <x:v>ИТОГО</x:v>
      </x:c>
      <x:c r="B7" s="80" t="n">
        <x:f>COUNTA(B5:B6)</x:f>
        <x:v>2</x:v>
      </x:c>
      <x:c r="C7" s="80" t="n">
        <x:f>SUM(C5:C6)</x:f>
        <x:v>124</x:v>
      </x:c>
      <x:c r="D7" s="81" t="n">
        <x:f>C7/60</x:f>
        <x:v>2.066666666666667</x:v>
      </x:c>
      <x:c r="E7" s="80"/>
      <x:c r="F7" s="82" t="n">
        <x:f>SUM(F5:F6)</x:f>
        <x:v>34.620000000000005</x:v>
      </x:c>
    </x:row>
  </x:sheetData>
  <x:mergeCells>
    <x:mergeCell ref="A1:F1"/>
    <x:mergeCell ref="A2:D2"/>
    <x:mergeCell ref="E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2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</x:cols>
  <x:sheetData>
    <x:row r="1" ht="30" customHeight="1">
      <x:c r="A1" s="86" t="str">
        <x:v>PL.</x:v>
      </x:c>
      <x:c r="B1" s="86"/>
      <x:c r="C1" s="86"/>
      <x:c r="D1" s="86"/>
      <x:c r="E1" s="86"/>
      <x:c r="F1" s="86"/>
    </x:row>
    <x:row r="2">
      <x:c r="A2" s="47" t="str">
        <x:v>Ставка, EUR/час</x:v>
      </x:c>
      <x:c r="B2" s="47"/>
      <x:c r="C2" s="47"/>
      <x:c r="D2" s="47"/>
      <x:c r="E2" s="9" t="n">
        <x:v>16.75</x:v>
      </x:c>
      <x:c r="F2" s="9"/>
    </x:row>
    <x:row r="4" ht="15" hidden="0" customHeight="1">
      <x:c r="A4" s="52" t="str">
        <x:v>№</x:v>
      </x:c>
      <x:c r="B4" s="52" t="str">
        <x:v>Название задачи</x:v>
      </x:c>
      <x:c r="C4" s="52" t="str">
        <x:v>Минуты</x:v>
      </x:c>
      <x:c r="D4" s="52" t="str">
        <x:v>Длительность</x:v>
      </x:c>
      <x:c r="E4" s="52" t="str">
        <x:v>Ставка</x:v>
      </x:c>
      <x:c r="F4" s="52" t="str">
        <x:v>Стоимость</x:v>
      </x:c>
    </x:row>
    <x:row r="5" ht="15" hidden="0" customHeight="1">
      <x:c r="A5" s="94" t="n">
        <x:v>1</x:v>
      </x:c>
      <x:c r="B5" s="90" t="str">
        <x:v>PL. Есть возможность сменить на польском сайте аккаунт для отзывов?</x:v>
      </x:c>
      <x:c r="C5" s="95" t="n">
        <x:v>38</x:v>
      </x:c>
      <x:c r="D5" s="96" t="str">
        <x:v>38 мин</x:v>
      </x:c>
      <x:c r="E5" s="97" t="n">
        <x:v>16.75</x:v>
      </x:c>
      <x:c r="F5" s="98" t="n">
        <x:v>10.61</x:v>
      </x:c>
    </x:row>
    <x:row r="6" ht="15" hidden="0" customHeight="1">
      <x:c r="A6" s="99" t="str">
        <x:v>ИТОГО</x:v>
      </x:c>
      <x:c r="B6" s="99" t="n">
        <x:f>COUNTA(B5:B5)</x:f>
        <x:v>1</x:v>
      </x:c>
      <x:c r="C6" s="99" t="n">
        <x:f>SUM(C5:C5)</x:f>
        <x:v>38</x:v>
      </x:c>
      <x:c r="D6" s="100" t="n">
        <x:f>C6/60</x:f>
        <x:v>0.6333333333333333</x:v>
      </x:c>
      <x:c r="E6" s="99"/>
      <x:c r="F6" s="101" t="n">
        <x:f>SUM(F5:F5)</x:f>
        <x:v>10.61</x:v>
      </x:c>
    </x:row>
  </x:sheetData>
  <x:mergeCells>
    <x:mergeCell ref="A1:F1"/>
    <x:mergeCell ref="A2:D2"/>
    <x:mergeCell ref="E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2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</x:cols>
  <x:sheetData>
    <x:row r="1" ht="30" customHeight="1">
      <x:c r="A1" s="105" t="str">
        <x:v>Фронт</x:v>
      </x:c>
      <x:c r="B1" s="105"/>
      <x:c r="C1" s="105"/>
      <x:c r="D1" s="105"/>
      <x:c r="E1" s="105"/>
      <x:c r="F1" s="105"/>
    </x:row>
    <x:row r="2">
      <x:c r="A2" s="47" t="str">
        <x:v>Ставка, EUR/час</x:v>
      </x:c>
      <x:c r="B2" s="47"/>
      <x:c r="C2" s="47"/>
      <x:c r="D2" s="47"/>
      <x:c r="E2" s="9" t="n">
        <x:v>16.75</x:v>
      </x:c>
      <x:c r="F2" s="9"/>
    </x:row>
    <x:row r="4" ht="15" hidden="0" customHeight="1">
      <x:c r="A4" s="52" t="str">
        <x:v>№</x:v>
      </x:c>
      <x:c r="B4" s="52" t="str">
        <x:v>Название задачи</x:v>
      </x:c>
      <x:c r="C4" s="52" t="str">
        <x:v>Минуты</x:v>
      </x:c>
      <x:c r="D4" s="52" t="str">
        <x:v>Длительность</x:v>
      </x:c>
      <x:c r="E4" s="52" t="str">
        <x:v>Ставка</x:v>
      </x:c>
      <x:c r="F4" s="52" t="str">
        <x:v>Стоимость</x:v>
      </x:c>
    </x:row>
    <x:row r="5" ht="26.399999618530273" hidden="0" customHeight="1">
      <x:c r="A5" s="56" t="n">
        <x:v>1</x:v>
      </x:c>
      <x:c r="B5" s="29" t="str">
        <x:v>APP-005A — popup: авторизация, регистрация, восстановление пароля, корзина и связанные переходы между окнами</x:v>
      </x:c>
      <x:c r="C5" s="59" t="n">
        <x:v>39</x:v>
      </x:c>
      <x:c r="D5" s="60" t="str">
        <x:v>39 мин</x:v>
      </x:c>
      <x:c r="E5" s="61" t="n">
        <x:v>16.75</x:v>
      </x:c>
      <x:c r="F5" s="62" t="n">
        <x:v>10.89</x:v>
      </x:c>
    </x:row>
    <x:row r="6" ht="15" hidden="0" customHeight="1">
      <x:c r="A6" s="57" t="n">
        <x:v>2</x:v>
      </x:c>
      <x:c r="B6" s="30" t="str">
        <x:v>APP-005A — визуальная desktop/mobile сверка /condition с production</x:v>
      </x:c>
      <x:c r="C6" s="63" t="n">
        <x:v>22</x:v>
      </x:c>
      <x:c r="D6" s="64" t="str">
        <x:v>22 мин</x:v>
      </x:c>
      <x:c r="E6" s="65" t="n">
        <x:v>16.75</x:v>
      </x:c>
      <x:c r="F6" s="66" t="n">
        <x:v>6.14</x:v>
      </x:c>
    </x:row>
    <x:row r="7" ht="15" hidden="0" customHeight="1">
      <x:c r="A7" s="57" t="n">
        <x:v>3</x:v>
      </x:c>
      <x:c r="B7" s="30" t="str">
        <x:v>APP-005A — Интерактивное меню и popups страницы condition</x:v>
      </x:c>
      <x:c r="C7" s="63" t="n">
        <x:v>33</x:v>
      </x:c>
      <x:c r="D7" s="64" t="str">
        <x:v>33 мин</x:v>
      </x:c>
      <x:c r="E7" s="65" t="n">
        <x:v>16.75</x:v>
      </x:c>
      <x:c r="F7" s="66" t="n">
        <x:v>9.21</x:v>
      </x:c>
    </x:row>
    <x:row r="8" ht="26.399999618530273" hidden="0" customHeight="1">
      <x:c r="A8" s="57" t="n">
        <x:v>4</x:v>
      </x:c>
      <x:c r="B8" s="30" t="str">
        <x:v>APP-005A — Перенос публичного фронтенда: базовая инфраструктура, локализация, существующие статические ресурсы и первая рабочая страница /condition</x:v>
      </x:c>
      <x:c r="C8" s="63" t="n">
        <x:v>44</x:v>
      </x:c>
      <x:c r="D8" s="64" t="str">
        <x:v>44 мин</x:v>
      </x:c>
      <x:c r="E8" s="65" t="n">
        <x:v>16.75</x:v>
      </x:c>
      <x:c r="F8" s="66" t="n">
        <x:v>12.28</x:v>
      </x:c>
    </x:row>
    <x:row r="9" ht="26.399999618530273" hidden="0" customHeight="1">
      <x:c r="A9" s="57" t="n">
        <x:v>5</x:v>
      </x:c>
      <x:c r="B9" s="30" t="str">
        <x:v>APP-005A — Перенос публичной главной страницы / с сохранением контента, переводов, assets, интерактивных элементов и выделением транзакционных сценариев.</x:v>
      </x:c>
      <x:c r="C9" s="63" t="n">
        <x:v>79</x:v>
      </x:c>
      <x:c r="D9" s="64" t="str">
        <x:v>1 ч 19 мин</x:v>
      </x:c>
      <x:c r="E9" s="65" t="n">
        <x:v>16.75</x:v>
      </x:c>
      <x:c r="F9" s="66" t="n">
        <x:v>22.05</x:v>
      </x:c>
    </x:row>
    <x:row r="10" ht="26.399999618530273" hidden="0" customHeight="1">
      <x:c r="A10" s="57" t="n">
        <x:v>6</x:v>
      </x:c>
      <x:c r="B10" s="30" t="str">
        <x:v>APP-005A — Перенос существующего frontend-каркаса, публичных маршрутов, шаблонов, assets и мультиязычности в Laravel 13 с подготовкой полнофункциональных транзакционных сценариев</x:v>
      </x:c>
      <x:c r="C10" s="63" t="n">
        <x:v>34</x:v>
      </x:c>
      <x:c r="D10" s="64" t="str">
        <x:v>34 мин</x:v>
      </x:c>
      <x:c r="E10" s="65" t="n">
        <x:v>16.75</x:v>
      </x:c>
      <x:c r="F10" s="66" t="n">
        <x:v>9.49</x:v>
      </x:c>
    </x:row>
    <x:row r="11" ht="39.599998474121094" hidden="0" customHeight="1">
      <x:c r="A11" s="57" t="n">
        <x:v>7</x:v>
      </x:c>
      <x:c r="B11" s="30" t="str">
        <x:v>APP-005A-FORM-01 — Полнофункциональный перенос формы главной страницы «Загрузить фото»: валидация, безопасная загрузка файлов, создание заявки, защита от повторной отправки, письма через локальный sink и автоматические тесты.</x:v>
      </x:c>
      <x:c r="C11" s="63" t="n">
        <x:v>61</x:v>
      </x:c>
      <x:c r="D11" s="64" t="str">
        <x:v>1 ч 01 мин</x:v>
      </x:c>
      <x:c r="E11" s="65" t="n">
        <x:v>16.75</x:v>
      </x:c>
      <x:c r="F11" s="66" t="n">
        <x:v>17.03</x:v>
      </x:c>
    </x:row>
    <x:row r="12" ht="26.399999618530273" hidden="0" customHeight="1">
      <x:c r="A12" s="57" t="n">
        <x:v>8</x:v>
      </x:c>
      <x:c r="B12" s="30" t="str">
        <x:v>APP-005A-FORM-01-FIX-04 — Восстановление полного результата отправки формы: создание заказа, отправка письма и переход на страницу «Спасибо» как в оригинале.</x:v>
      </x:c>
      <x:c r="C12" s="63" t="n">
        <x:v>24</x:v>
      </x:c>
      <x:c r="D12" s="64" t="str">
        <x:v>24 мин</x:v>
      </x:c>
      <x:c r="E12" s="65" t="n">
        <x:v>16.75</x:v>
      </x:c>
      <x:c r="F12" s="66" t="n">
        <x:v>6.7</x:v>
      </x:c>
    </x:row>
    <x:row r="13" ht="26.399999618530273" hidden="0" customHeight="1">
      <x:c r="A13" s="57" t="n">
        <x:v>9</x:v>
      </x:c>
      <x:c r="B13" s="30" t="str">
        <x:v>APP-005A-FORM-02 — Полнофункциональный parity-first перенос четырёхшагового quiz главной страницы</x:v>
      </x:c>
      <x:c r="C13" s="63" t="n">
        <x:v>69</x:v>
      </x:c>
      <x:c r="D13" s="64" t="str">
        <x:v>1 ч 09 мин</x:v>
      </x:c>
      <x:c r="E13" s="65" t="n">
        <x:v>16.75</x:v>
      </x:c>
      <x:c r="F13" s="66" t="n">
        <x:v>19.26</x:v>
      </x:c>
    </x:row>
    <x:row r="14" ht="52.79999923706055" hidden="0" customHeight="1">
      <x:c r="A14" s="57" t="n">
        <x:v>10</x:v>
      </x:c>
      <x:c r="B14" s="30" t="str">
        <x:v>APP-005A-FORM-02 — Полнофункциональный перенос четырёхшагового квиза главной страницы #q__form (POST /user/send_photo_form) в Laravel 13: сохранение всех шагов и вариантов выбора, загрузка фотографий, создание пользователя и заказа, валидация, идемпотентность, локальные письма, мультиязычность и автоматические тесты.</x:v>
      </x:c>
      <x:c r="C14" s="63" t="n">
        <x:v>51</x:v>
      </x:c>
      <x:c r="D14" s="64" t="str">
        <x:v>51 мин</x:v>
      </x:c>
      <x:c r="E14" s="65" t="n">
        <x:v>16.75</x:v>
      </x:c>
      <x:c r="F14" s="66" t="n">
        <x:v>14.24</x:v>
      </x:c>
    </x:row>
    <x:row r="15" ht="26.399999618530273" hidden="0" customHeight="1">
      <x:c r="A15" s="57" t="n">
        <x:v>11</x:v>
      </x:c>
      <x:c r="B15" s="30" t="str">
        <x:v>APP-005A-PARITY-REBASE — Полный перенос frontend-корпуса и исходных цепочек поведения в Laravel 13 по принципу “сначала функциональная идентичность, затем рефакторинг”</x:v>
      </x:c>
      <x:c r="C15" s="63" t="n">
        <x:v>31</x:v>
      </x:c>
      <x:c r="D15" s="64" t="str">
        <x:v>31 мин</x:v>
      </x:c>
      <x:c r="E15" s="65" t="n">
        <x:v>16.75</x:v>
      </x:c>
      <x:c r="F15" s="66" t="n">
        <x:v>8.65</x:v>
      </x:c>
    </x:row>
    <x:row r="16" ht="26.399999618530273" hidden="0" customHeight="1">
      <x:c r="A16" s="57" t="n">
        <x:v>12</x:v>
      </x:c>
      <x:c r="B16" s="30" t="str">
        <x:v>APP-005A-ROUTE-01 — Полная классификация публичных маршрутов, обработчиков и транзакционных сценариев frontend</x:v>
      </x:c>
      <x:c r="C16" s="63" t="n">
        <x:v>21</x:v>
      </x:c>
      <x:c r="D16" s="64" t="str">
        <x:v>21 мин</x:v>
      </x:c>
      <x:c r="E16" s="65" t="n">
        <x:v>16.75</x:v>
      </x:c>
      <x:c r="F16" s="66" t="n">
        <x:v>5.86</x:v>
      </x:c>
    </x:row>
    <x:row r="17" ht="26.399999618530273" hidden="0" customHeight="1">
      <x:c r="A17" s="57" t="n">
        <x:v>13</x:v>
      </x:c>
      <x:c r="B17" s="30" t="str">
        <x:v>APP-005B-ABOUT-01 — Полнофункциональный перенос публичной страницы «О нас» (/about) с сохранением маршрутов, переводов, SEO, блоков, изображений и поведения оригинала</x:v>
      </x:c>
      <x:c r="C17" s="63" t="n">
        <x:v>18</x:v>
      </x:c>
      <x:c r="D17" s="64" t="str">
        <x:v>18 мин</x:v>
      </x:c>
      <x:c r="E17" s="65" t="n">
        <x:v>16.75</x:v>
      </x:c>
      <x:c r="F17" s="66" t="n">
        <x:v>5.03</x:v>
      </x:c>
    </x:row>
    <x:row r="18" ht="15" hidden="0" customHeight="1">
      <x:c r="A18" s="57" t="n">
        <x:v>14</x:v>
      </x:c>
      <x:c r="B18" s="30" t="str">
        <x:v>APP-005B-BASKET-01 — общий public basket слой как в legacy</x:v>
      </x:c>
      <x:c r="C18" s="63" t="n">
        <x:v>27</x:v>
      </x:c>
      <x:c r="D18" s="64" t="str">
        <x:v>27 мин</x:v>
      </x:c>
      <x:c r="E18" s="65" t="n">
        <x:v>16.75</x:v>
      </x:c>
      <x:c r="F18" s="66" t="n">
        <x:v>7.54</x:v>
      </x:c>
    </x:row>
    <x:row r="19" ht="15" hidden="0" customHeight="1">
      <x:c r="A19" s="57" t="n">
        <x:v>15</x:v>
      </x:c>
      <x:c r="B19" s="30" t="str">
        <x:v>APP-005B-BASKET-02 — cart render / totals / coupon calculatio</x:v>
      </x:c>
      <x:c r="C19" s="63" t="n">
        <x:v>69</x:v>
      </x:c>
      <x:c r="D19" s="64" t="str">
        <x:v>1 ч 09 мин</x:v>
      </x:c>
      <x:c r="E19" s="65" t="n">
        <x:v>16.75</x:v>
      </x:c>
      <x:c r="F19" s="66" t="n">
        <x:v>19.26</x:v>
      </x:c>
    </x:row>
    <x:row r="20" ht="15" hidden="0" customHeight="1">
      <x:c r="A20" s="57" t="n">
        <x:v>16</x:v>
      </x:c>
      <x:c r="B20" s="30" t="str">
        <x:v>APP-005B-BASKET-03 — final order creation/payment writer</x:v>
      </x:c>
      <x:c r="C20" s="63" t="n">
        <x:v>5</x:v>
      </x:c>
      <x:c r="D20" s="64" t="str">
        <x:v>5 мин</x:v>
      </x:c>
      <x:c r="E20" s="65" t="n">
        <x:v>16.75</x:v>
      </x:c>
      <x:c r="F20" s="66" t="n">
        <x:v>1.4</x:v>
      </x:c>
    </x:row>
    <x:row r="21" ht="15" hidden="0" customHeight="1">
      <x:c r="A21" s="57" t="n">
        <x:v>17</x:v>
      </x:c>
      <x:c r="B21" s="30" t="str">
        <x:v>APP-005B-BASKET-04 — Paysera/PayPal provider handoff and callbacks</x:v>
      </x:c>
      <x:c r="C21" s="63" t="n">
        <x:v>31</x:v>
      </x:c>
      <x:c r="D21" s="64" t="str">
        <x:v>31 мин</x:v>
      </x:c>
      <x:c r="E21" s="65" t="n">
        <x:v>16.75</x:v>
      </x:c>
      <x:c r="F21" s="66" t="n">
        <x:v>8.65</x:v>
      </x:c>
    </x:row>
    <x:row r="22" ht="15" hidden="0" customHeight="1">
      <x:c r="A22" s="57" t="n">
        <x:v>18</x:v>
      </x:c>
      <x:c r="B22" s="30" t="str">
        <x:v>APP-005B-BASKET-07 — payment sandbox unblock and checkout browser smoke</x:v>
      </x:c>
      <x:c r="C22" s="63" t="n">
        <x:v>16</x:v>
      </x:c>
      <x:c r="D22" s="64" t="str">
        <x:v>16 мин</x:v>
      </x:c>
      <x:c r="E22" s="65" t="n">
        <x:v>16.75</x:v>
      </x:c>
      <x:c r="F22" s="66" t="n">
        <x:v>4.47</x:v>
      </x:c>
    </x:row>
    <x:row r="23" ht="15" hidden="0" customHeight="1">
      <x:c r="A23" s="57" t="n">
        <x:v>19</x:v>
      </x:c>
      <x:c r="B23" s="30" t="str">
        <x:v>APP-005B-CONTACTS-01 — полнофункциональный перенос страницы «Контакты»</x:v>
      </x:c>
      <x:c r="C23" s="63" t="n">
        <x:v>25</x:v>
      </x:c>
      <x:c r="D23" s="64" t="str">
        <x:v>25 мин</x:v>
      </x:c>
      <x:c r="E23" s="65" t="n">
        <x:v>16.75</x:v>
      </x:c>
      <x:c r="F23" s="66" t="n">
        <x:v>6.98</x:v>
      </x:c>
    </x:row>
    <x:row r="24" ht="39.599998474121094" hidden="0" customHeight="1">
      <x:c r="A24" s="57" t="n">
        <x:v>20</x:v>
      </x:c>
      <x:c r="B24" s="30" t="str">
        <x:v>APP-005B-DELIVERY-01 — полнофункциональный перенос публичной страницы «Доставка» (/page/delivery) с локалями, регионами, тарифами, SEO, интерактивными элементами и исходным поведением</x:v>
      </x:c>
      <x:c r="C24" s="63" t="n">
        <x:v>85</x:v>
      </x:c>
      <x:c r="D24" s="64" t="str">
        <x:v>1 ч 25 мин</x:v>
      </x:c>
      <x:c r="E24" s="65" t="n">
        <x:v>16.75</x:v>
      </x:c>
      <x:c r="F24" s="66" t="n">
        <x:v>23.73</x:v>
      </x:c>
    </x:row>
    <x:row r="25" ht="26.399999618530273" hidden="0" customHeight="1">
      <x:c r="A25" s="57" t="n">
        <x:v>21</x:v>
      </x:c>
      <x:c r="B25" s="30" t="str">
        <x:v>APP-005B-FOUNDATION-01 — Централизация общих данных публичного фронта в Laravel 13 без изменения поведения страниц.</x:v>
      </x:c>
      <x:c r="C25" s="63" t="n">
        <x:v>63</x:v>
      </x:c>
      <x:c r="D25" s="64" t="str">
        <x:v>1 ч 03 мин</x:v>
      </x:c>
      <x:c r="E25" s="65" t="n">
        <x:v>16.75</x:v>
      </x:c>
      <x:c r="F25" s="66" t="n">
        <x:v>17.59</x:v>
      </x:c>
    </x:row>
    <x:row r="26" ht="15" hidden="0" customHeight="1">
      <x:c r="A26" s="57" t="n">
        <x:v>22</x:v>
      </x:c>
      <x:c r="B26" s="30" t="str">
        <x:v>APP-005B-GIFT-CARD-01 — перенос страницы /new/gift-card</x:v>
      </x:c>
      <x:c r="C26" s="63" t="n">
        <x:v>55</x:v>
      </x:c>
      <x:c r="D26" s="64" t="str">
        <x:v>55 мин</x:v>
      </x:c>
      <x:c r="E26" s="65" t="n">
        <x:v>16.75</x:v>
      </x:c>
      <x:c r="F26" s="66" t="n">
        <x:v>15.35</x:v>
      </x:c>
    </x:row>
    <x:row r="27" ht="26.399999618530273" hidden="0" customHeight="1">
      <x:c r="A27" s="57" t="n">
        <x:v>23</x:v>
      </x:c>
      <x:c r="B27" s="30" t="str">
        <x:v>APP-005B-PAGES-01 — разбиение используемых фронтом страниц на семейства и перенос первого однородного семейства через общий контроллер</x:v>
      </x:c>
      <x:c r="C27" s="63" t="n">
        <x:v>22</x:v>
      </x:c>
      <x:c r="D27" s="64" t="str">
        <x:v>22 мин</x:v>
      </x:c>
      <x:c r="E27" s="65" t="n">
        <x:v>16.75</x:v>
      </x:c>
      <x:c r="F27" s="66" t="n">
        <x:v>6.14</x:v>
      </x:c>
    </x:row>
    <x:row r="28" ht="26.399999618530273" hidden="0" customHeight="1">
      <x:c r="A28" s="58" t="n">
        <x:v>24</x:v>
      </x:c>
      <x:c r="B28" s="31" t="str">
        <x:v>APP-005B-STOCKS-01 — перенос страницы /stocks с полной сверкой исходной логики, данных, маршрутов, assets и локалей</x:v>
      </x:c>
      <x:c r="C28" s="67" t="n">
        <x:v>77</x:v>
      </x:c>
      <x:c r="D28" s="68" t="str">
        <x:v>1 ч 17 мин</x:v>
      </x:c>
      <x:c r="E28" s="69" t="n">
        <x:v>16.75</x:v>
      </x:c>
      <x:c r="F28" s="70" t="n">
        <x:v>21.5</x:v>
      </x:c>
    </x:row>
    <x:row r="29" ht="15" hidden="0" customHeight="1">
      <x:c r="A29" s="106" t="str">
        <x:v>ИТОГО</x:v>
      </x:c>
      <x:c r="B29" s="106" t="n">
        <x:f>COUNTA(B5:B28)</x:f>
        <x:v>24</x:v>
      </x:c>
      <x:c r="C29" s="106" t="n">
        <x:f>SUM(C5:C28)</x:f>
        <x:v>1001</x:v>
      </x:c>
      <x:c r="D29" s="107" t="n">
        <x:f>C29/60</x:f>
        <x:v>16.683333333333334</x:v>
      </x:c>
      <x:c r="E29" s="106"/>
      <x:c r="F29" s="108" t="n">
        <x:f>SUM(F5:F28)</x:f>
        <x:v>279.44</x:v>
      </x:c>
    </x:row>
  </x:sheetData>
  <x:mergeCells>
    <x:mergeCell ref="A1:F1"/>
    <x:mergeCell ref="A2:D2"/>
    <x:mergeCell ref="E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2" hidden="0" customWidth="1"/>
    <x:col min="3" max="3" width="12" hidden="0" customWidth="1"/>
    <x:col min="4" max="4" width="16" hidden="0" customWidth="1"/>
    <x:col min="5" max="5" width="15" hidden="0" customWidth="1"/>
    <x:col min="6" max="6" width="15" hidden="0" customWidth="1"/>
  </x:cols>
  <x:sheetData>
    <x:row r="1" ht="30" customHeight="1">
      <x:c r="A1" s="112" t="str">
        <x:v>Админка и техническая миграция</x:v>
      </x:c>
      <x:c r="B1" s="112"/>
      <x:c r="C1" s="112"/>
      <x:c r="D1" s="112"/>
      <x:c r="E1" s="112"/>
      <x:c r="F1" s="112"/>
    </x:row>
    <x:row r="2">
      <x:c r="A2" s="47" t="str">
        <x:v>Ставка, EUR/час</x:v>
      </x:c>
      <x:c r="B2" s="47"/>
      <x:c r="C2" s="47"/>
      <x:c r="D2" s="47"/>
      <x:c r="E2" s="9" t="n">
        <x:v>16.75</x:v>
      </x:c>
      <x:c r="F2" s="9"/>
    </x:row>
    <x:row r="4" ht="15" hidden="0" customHeight="1">
      <x:c r="A4" s="52" t="str">
        <x:v>№</x:v>
      </x:c>
      <x:c r="B4" s="52" t="str">
        <x:v>Название задачи</x:v>
      </x:c>
      <x:c r="C4" s="52" t="str">
        <x:v>Минуты</x:v>
      </x:c>
      <x:c r="D4" s="52" t="str">
        <x:v>Длительность</x:v>
      </x:c>
      <x:c r="E4" s="52" t="str">
        <x:v>Ставка</x:v>
      </x:c>
      <x:c r="F4" s="52" t="str">
        <x:v>Стоимость</x:v>
      </x:c>
    </x:row>
    <x:row r="5" ht="15" hidden="0" customHeight="1">
      <x:c r="A5" s="56" t="n">
        <x:v>1</x:v>
      </x:c>
      <x:c r="B5" s="29" t="str">
        <x:v>S0-03 — Совместимость пользователей, авторизации, сессий и корзины для Laravel 13 / Filament 5</x:v>
      </x:c>
      <x:c r="C5" s="59" t="n">
        <x:v>48</x:v>
      </x:c>
      <x:c r="D5" s="60" t="str">
        <x:v>48 мин</x:v>
      </x:c>
      <x:c r="E5" s="61" t="n">
        <x:v>16.75</x:v>
      </x:c>
      <x:c r="F5" s="62" t="n">
        <x:v>13.4</x:v>
      </x:c>
    </x:row>
    <x:row r="6" ht="26.399999618530273" hidden="0" customHeight="1">
      <x:c r="A6" s="57" t="n">
        <x:v>2</x:v>
      </x:c>
      <x:c r="B6" s="30" t="str">
        <x:v>S0-04 — Совместимый адаптер ролей и разрешений, построение навигации Filament и проверка доступа для всех восьми ролей</x:v>
      </x:c>
      <x:c r="C6" s="63" t="n">
        <x:v>21</x:v>
      </x:c>
      <x:c r="D6" s="64" t="str">
        <x:v>21 мин</x:v>
      </x:c>
      <x:c r="E6" s="65" t="n">
        <x:v>16.75</x:v>
      </x:c>
      <x:c r="F6" s="66" t="n">
        <x:v>5.86</x:v>
      </x:c>
    </x:row>
    <x:row r="7" ht="26.399999618530273" hidden="0" customHeight="1">
      <x:c r="A7" s="57" t="n">
        <x:v>3</x:v>
      </x:c>
      <x:c r="B7" s="30" t="str">
        <x:v>S0-05 — Совместимый адаптер переводов, безопасная версионная публикация и повторная проверка языковых данных</x:v>
      </x:c>
      <x:c r="C7" s="63" t="n">
        <x:v>30</x:v>
      </x:c>
      <x:c r="D7" s="64" t="str">
        <x:v>30 мин</x:v>
      </x:c>
      <x:c r="E7" s="65" t="n">
        <x:v>16.75</x:v>
      </x:c>
      <x:c r="F7" s="66" t="n">
        <x:v>8.38</x:v>
      </x:c>
    </x:row>
    <x:row r="8" ht="26.399999618530273" hidden="0" customHeight="1">
      <x:c r="A8" s="57" t="n">
        <x:v>4</x:v>
      </x:c>
      <x:c r="B8" s="30" t="str">
        <x:v>S0-06 — Read-only OrderResource, безопасная синтетическая Action и проверка инвариантов заказов/CRM</x:v>
      </x:c>
      <x:c r="C8" s="63" t="n">
        <x:v>48</x:v>
      </x:c>
      <x:c r="D8" s="64" t="str">
        <x:v>48 мин</x:v>
      </x:c>
      <x:c r="E8" s="65" t="n">
        <x:v>16.75</x:v>
      </x:c>
      <x:c r="F8" s="66" t="n">
        <x:v>13.4</x:v>
      </x:c>
    </x:row>
    <x:row r="9" ht="15" hidden="0" customHeight="1">
      <x:c r="A9" s="57" t="n">
        <x:v>5</x:v>
      </x:c>
      <x:c r="B9" s="30" t="str">
        <x:v>Подготовка PHP-FPM, OPcache, пулов процессов и ограничений памяти к новой версии Laravel</x:v>
      </x:c>
      <x:c r="C9" s="63" t="n">
        <x:v>14</x:v>
      </x:c>
      <x:c r="D9" s="64" t="str">
        <x:v>14 мин</x:v>
      </x:c>
      <x:c r="E9" s="65" t="n">
        <x:v>16.75</x:v>
      </x:c>
      <x:c r="F9" s="66" t="n">
        <x:v>3.91</x:v>
      </x:c>
    </x:row>
    <x:row r="10" ht="26.399999618530273" hidden="0" customHeight="1">
      <x:c r="A10" s="57" t="n">
        <x:v>6</x:v>
      </x:c>
      <x:c r="B10" s="30" t="str">
        <x:v>Подготовка production-инфраструктуры к миграции: БД, Redis, очереди, failed jobs, сессии, логи и резервные копии</x:v>
      </x:c>
      <x:c r="C10" s="63" t="n">
        <x:v>93</x:v>
      </x:c>
      <x:c r="D10" s="64" t="str">
        <x:v>1 ч 33 мин</x:v>
      </x:c>
      <x:c r="E10" s="65" t="n">
        <x:v>16.75</x:v>
      </x:c>
      <x:c r="F10" s="66" t="n">
        <x:v>25.96</x:v>
      </x:c>
    </x:row>
    <x:row r="11" ht="15" hidden="0" customHeight="1">
      <x:c r="A11" s="57" t="n">
        <x:v>7</x:v>
      </x:c>
      <x:c r="B11" s="30" t="str">
        <x:v>Подготовка production-конфигурации приложения, HTTPS, storage и файловых прав к миграции</x:v>
      </x:c>
      <x:c r="C11" s="63" t="n">
        <x:v>33</x:v>
      </x:c>
      <x:c r="D11" s="64" t="str">
        <x:v>33 мин</x:v>
      </x:c>
      <x:c r="E11" s="65" t="n">
        <x:v>16.75</x:v>
      </x:c>
      <x:c r="F11" s="66" t="n">
        <x:v>9.21</x:v>
      </x:c>
    </x:row>
    <x:row r="12" ht="26.399999618530273" hidden="0" customHeight="1">
      <x:c r="A12" s="57" t="n">
        <x:v>8</x:v>
      </x:c>
      <x:c r="B12" s="30" t="str">
        <x:v>Подготовка production-топологии к размещению обновлённого проекта: Nginx, PHP, MariaDB, Redis и ресурсы сервера</x:v>
      </x:c>
      <x:c r="C12" s="63" t="n">
        <x:v>36</x:v>
      </x:c>
      <x:c r="D12" s="64" t="str">
        <x:v>36 мин</x:v>
      </x:c>
      <x:c r="E12" s="65" t="n">
        <x:v>16.75</x:v>
      </x:c>
      <x:c r="F12" s="66" t="n">
        <x:v>10.05</x:v>
      </x:c>
    </x:row>
    <x:row r="13" ht="15" hidden="0" customHeight="1">
      <x:c r="A13" s="57" t="n">
        <x:v>9</x:v>
      </x:c>
      <x:c r="B13" s="30" t="str">
        <x:v>Подготовка redirects, sitemap, feeds, SEO и вспомогательных маршрутов к обновлению проекта</x:v>
      </x:c>
      <x:c r="C13" s="63" t="n">
        <x:v>51</x:v>
      </x:c>
      <x:c r="D13" s="64" t="str">
        <x:v>51 мин</x:v>
      </x:c>
      <x:c r="E13" s="65" t="n">
        <x:v>16.75</x:v>
      </x:c>
      <x:c r="F13" s="66" t="n">
        <x:v>14.24</x:v>
      </x:c>
    </x:row>
    <x:row r="14" ht="15" hidden="0" customHeight="1">
      <x:c r="A14" s="57" t="n">
        <x:v>10</x:v>
      </x:c>
      <x:c r="B14" s="30" t="str">
        <x:v>Подготовка staging и сборка изолированного Laravel 13 / Filament 5 проекта</x:v>
      </x:c>
      <x:c r="C14" s="63" t="n">
        <x:v>70</x:v>
      </x:c>
      <x:c r="D14" s="64" t="str">
        <x:v>1 ч 10 мин</x:v>
      </x:c>
      <x:c r="E14" s="65" t="n">
        <x:v>16.75</x:v>
      </x:c>
      <x:c r="F14" s="66" t="n">
        <x:v>19.54</x:v>
      </x:c>
    </x:row>
    <x:row r="15" ht="26.399999618530273" hidden="0" customHeight="1">
      <x:c r="A15" s="57" t="n">
        <x:v>11</x:v>
      </x:c>
      <x:c r="B15" s="30" t="str">
        <x:v>Подготовка и верификация переноса переводов: production/local файлы, БД, локали и контрольные суммы</x:v>
      </x:c>
      <x:c r="C15" s="63" t="n">
        <x:v>72</x:v>
      </x:c>
      <x:c r="D15" s="64" t="str">
        <x:v>1 ч 12 мин</x:v>
      </x:c>
      <x:c r="E15" s="65" t="n">
        <x:v>16.75</x:v>
      </x:c>
      <x:c r="F15" s="66" t="n">
        <x:v>20.1</x:v>
      </x:c>
    </x:row>
    <x:row r="16" ht="15" hidden="0" customHeight="1">
      <x:c r="A16" s="57" t="n">
        <x:v>12</x:v>
      </x:c>
      <x:c r="B16" s="30" t="str">
        <x:v>Подготовка и настройка сессий, cache, очередей, Scheduler, SMTP и Synvolve для новой версии проекта</x:v>
      </x:c>
      <x:c r="C16" s="63" t="n">
        <x:v>32</x:v>
      </x:c>
      <x:c r="D16" s="64" t="str">
        <x:v>32 мин</x:v>
      </x:c>
      <x:c r="E16" s="65" t="n">
        <x:v>16.75</x:v>
      </x:c>
      <x:c r="F16" s="66" t="n">
        <x:v>8.93</x:v>
      </x:c>
    </x:row>
    <x:row r="17" ht="15" hidden="0" customHeight="1">
      <x:c r="A17" s="57" t="n">
        <x:v>13</x:v>
      </x:c>
      <x:c r="B17" s="30" t="str">
        <x:v>Подготовка кодовой базы к миграции: проверка релиза, Git-расхождений, runtime-файлов и журналов</x:v>
      </x:c>
      <x:c r="C17" s="63" t="n">
        <x:v>26</x:v>
      </x:c>
      <x:c r="D17" s="64" t="str">
        <x:v>26 мин</x:v>
      </x:c>
      <x:c r="E17" s="65" t="n">
        <x:v>16.75</x:v>
      </x:c>
      <x:c r="F17" s="66" t="n">
        <x:v>7.26</x:v>
      </x:c>
    </x:row>
    <x:row r="18" ht="15" hidden="0" customHeight="1">
      <x:c r="A18" s="57" t="n">
        <x:v>14</x:v>
      </x:c>
      <x:c r="B18" s="30" t="str">
        <x:v>Подготовка локальной среды PHP 7.4 и фиксация требований целевой платформы</x:v>
      </x:c>
      <x:c r="C18" s="63" t="n">
        <x:v>5</x:v>
      </x:c>
      <x:c r="D18" s="64" t="str">
        <x:v>5 мин</x:v>
      </x:c>
      <x:c r="E18" s="65" t="n">
        <x:v>16.75</x:v>
      </x:c>
      <x:c r="F18" s="66" t="n">
        <x:v>1.4</x:v>
      </x:c>
    </x:row>
    <x:row r="19" ht="15" hidden="0" customHeight="1">
      <x:c r="A19" s="57" t="n">
        <x:v>15</x:v>
      </x:c>
      <x:c r="B19" s="30" t="str">
        <x:v>Подготовка матрицы проверки административных маршрутов и прав доступа</x:v>
      </x:c>
      <x:c r="C19" s="63" t="n">
        <x:v>5</x:v>
      </x:c>
      <x:c r="D19" s="64" t="str">
        <x:v>5 мин</x:v>
      </x:c>
      <x:c r="E19" s="65" t="n">
        <x:v>16.75</x:v>
      </x:c>
      <x:c r="F19" s="66" t="n">
        <x:v>1.4</x:v>
      </x:c>
    </x:row>
    <x:row r="20" ht="15" hidden="0" customHeight="1">
      <x:c r="A20" s="57" t="n">
        <x:v>16</x:v>
      </x:c>
      <x:c r="B20" s="30" t="str">
        <x:v>Подготовка протокола приёмки и безопасного переноса переводов</x:v>
      </x:c>
      <x:c r="C20" s="63" t="n">
        <x:v>23</x:v>
      </x:c>
      <x:c r="D20" s="64" t="str">
        <x:v>23 мин</x:v>
      </x:c>
      <x:c r="E20" s="65" t="n">
        <x:v>16.75</x:v>
      </x:c>
      <x:c r="F20" s="66" t="n">
        <x:v>6.42</x:v>
      </x:c>
    </x:row>
    <x:row r="21" ht="15" hidden="0" customHeight="1">
      <x:c r="A21" s="57" t="n">
        <x:v>17</x:v>
      </x:c>
      <x:c r="B21" s="30" t="str">
        <x:v>Подготовка резервирования, ротации логов, workers и мер снижения эксплуатационных рисков</x:v>
      </x:c>
      <x:c r="C21" s="63" t="n">
        <x:v>31</x:v>
      </x:c>
      <x:c r="D21" s="64" t="str">
        <x:v>31 мин</x:v>
      </x:c>
      <x:c r="E21" s="65" t="n">
        <x:v>16.75</x:v>
      </x:c>
      <x:c r="F21" s="66" t="n">
        <x:v>8.65</x:v>
      </x:c>
    </x:row>
    <x:row r="22" ht="15" hidden="0" customHeight="1">
      <x:c r="A22" s="57" t="n">
        <x:v>18</x:v>
      </x:c>
      <x:c r="B22" s="30" t="str">
        <x:v>Подготовка серверного пакета установки, проверок и сценария возврата</x:v>
      </x:c>
      <x:c r="C22" s="63" t="n">
        <x:v>18</x:v>
      </x:c>
      <x:c r="D22" s="64" t="str">
        <x:v>18 мин</x:v>
      </x:c>
      <x:c r="E22" s="65" t="n">
        <x:v>16.75</x:v>
      </x:c>
      <x:c r="F22" s="66" t="n">
        <x:v>5.03</x:v>
      </x:c>
    </x:row>
    <x:row r="23" ht="26.399999618530273" hidden="0" customHeight="1">
      <x:c r="A23" s="57" t="n">
        <x:v>19</x:v>
      </x:c>
      <x:c r="B23" s="30" t="str">
        <x:v>Подготовка структуры публичного каталога, SEO и административных разделов Voyager BREAD к переносу</x:v>
      </x:c>
      <x:c r="C23" s="63" t="n">
        <x:v>9</x:v>
      </x:c>
      <x:c r="D23" s="64" t="str">
        <x:v>9 мин</x:v>
      </x:c>
      <x:c r="E23" s="65" t="n">
        <x:v>16.75</x:v>
      </x:c>
      <x:c r="F23" s="66" t="n">
        <x:v>2.51</x:v>
      </x:c>
    </x:row>
    <x:row r="24" ht="26.399999618530273" hidden="0" customHeight="1">
      <x:c r="A24" s="57" t="n">
        <x:v>20</x:v>
      </x:c>
      <x:c r="B24" s="30" t="str">
        <x:v>Подготовка технической базы миграции: анализ Laravel, Voyager, PHP и зависимостей; формирование реестра маршрутов и функций</x:v>
      </x:c>
      <x:c r="C24" s="63" t="n">
        <x:v>94</x:v>
      </x:c>
      <x:c r="D24" s="64" t="str">
        <x:v>1 ч 34 мин</x:v>
      </x:c>
      <x:c r="E24" s="65" t="n">
        <x:v>16.75</x:v>
      </x:c>
      <x:c r="F24" s="66" t="n">
        <x:v>26.24</x:v>
      </x:c>
    </x:row>
    <x:row r="25" ht="15" hidden="0" customHeight="1">
      <x:c r="A25" s="57" t="n">
        <x:v>21</x:v>
      </x:c>
      <x:c r="B25" s="30" t="str">
        <x:v>Подготовка чек-листа ручной приёмки и матрицы критических сценариев</x:v>
      </x:c>
      <x:c r="C25" s="63" t="n">
        <x:v>23</x:v>
      </x:c>
      <x:c r="D25" s="64" t="str">
        <x:v>23 мин</x:v>
      </x:c>
      <x:c r="E25" s="65" t="n">
        <x:v>16.75</x:v>
      </x:c>
      <x:c r="F25" s="66" t="n">
        <x:v>6.42</x:v>
      </x:c>
    </x:row>
    <x:row r="26" ht="15" hidden="0" customHeight="1">
      <x:c r="A26" s="57" t="n">
        <x:v>22</x:v>
      </x:c>
      <x:c r="B26" s="30" t="str">
        <x:v>Проектирование переноса Voyager в Filament: модули, поля, меню, роли и права</x:v>
      </x:c>
      <x:c r="C26" s="63" t="n">
        <x:v>34</x:v>
      </x:c>
      <x:c r="D26" s="64" t="str">
        <x:v>34 мин</x:v>
      </x:c>
      <x:c r="E26" s="65" t="n">
        <x:v>16.75</x:v>
      </x:c>
      <x:c r="F26" s="66" t="n">
        <x:v>9.49</x:v>
      </x:c>
    </x:row>
    <x:row r="27" ht="15" hidden="0" customHeight="1">
      <x:c r="A27" s="57" t="n">
        <x:v>23</x:v>
      </x:c>
      <x:c r="B27" s="30" t="str">
        <x:v>Проектирование переноса ролей, заказов, платежей, доставки и переводов</x:v>
      </x:c>
      <x:c r="C27" s="63" t="n">
        <x:v>51</x:v>
      </x:c>
      <x:c r="D27" s="64" t="str">
        <x:v>51 мин</x:v>
      </x:c>
      <x:c r="E27" s="65" t="n">
        <x:v>16.75</x:v>
      </x:c>
      <x:c r="F27" s="66" t="n">
        <x:v>14.24</x:v>
      </x:c>
    </x:row>
    <x:row r="28" ht="15" hidden="0" customHeight="1">
      <x:c r="A28" s="57" t="n">
        <x:v>24</x:v>
      </x:c>
      <x:c r="B28" s="30" t="str">
        <x:v>Проектирование правил владельца записи, синхронизации и модульного переключения</x:v>
      </x:c>
      <x:c r="C28" s="63" t="n">
        <x:v>25</x:v>
      </x:c>
      <x:c r="D28" s="64" t="str">
        <x:v>25 мин</x:v>
      </x:c>
      <x:c r="E28" s="65" t="n">
        <x:v>16.75</x:v>
      </x:c>
      <x:c r="F28" s="66" t="n">
        <x:v>6.98</x:v>
      </x:c>
    </x:row>
    <x:row r="29" ht="15" hidden="0" customHeight="1">
      <x:c r="A29" s="57" t="n">
        <x:v>25</x:v>
      </x:c>
      <x:c r="B29" s="30" t="str">
        <x:v>Проработка административных маршрутов, функций и правил контроля доступа</x:v>
      </x:c>
      <x:c r="C29" s="63" t="n">
        <x:v>34</x:v>
      </x:c>
      <x:c r="D29" s="64" t="str">
        <x:v>34 мин</x:v>
      </x:c>
      <x:c r="E29" s="65" t="n">
        <x:v>16.75</x:v>
      </x:c>
      <x:c r="F29" s="66" t="n">
        <x:v>9.49</x:v>
      </x:c>
    </x:row>
    <x:row r="30" ht="15" hidden="0" customHeight="1">
      <x:c r="A30" s="57" t="n">
        <x:v>26</x:v>
      </x:c>
      <x:c r="B30" s="30" t="str">
        <x:v>Проработка переноса авторизации, Socialite, личного кабинета, чатов, почты и фоновых задач</x:v>
      </x:c>
      <x:c r="C30" s="63" t="n">
        <x:v>51</x:v>
      </x:c>
      <x:c r="D30" s="64" t="str">
        <x:v>51 мин</x:v>
      </x:c>
      <x:c r="E30" s="65" t="n">
        <x:v>16.75</x:v>
      </x:c>
      <x:c r="F30" s="66" t="n">
        <x:v>14.24</x:v>
      </x:c>
    </x:row>
    <x:row r="31" ht="15" hidden="0" customHeight="1">
      <x:c r="A31" s="57" t="n">
        <x:v>27</x:v>
      </x:c>
      <x:c r="B31" s="30" t="str">
        <x:v>Проработка переноса заказов, CRM, корзины, расчёта цен и платёжных сценариев</x:v>
      </x:c>
      <x:c r="C31" s="63" t="n">
        <x:v>31</x:v>
      </x:c>
      <x:c r="D31" s="64" t="str">
        <x:v>31 мин</x:v>
      </x:c>
      <x:c r="E31" s="65" t="n">
        <x:v>16.75</x:v>
      </x:c>
      <x:c r="F31" s="66" t="n">
        <x:v>8.65</x:v>
      </x:c>
    </x:row>
    <x:row r="32" ht="15" hidden="0" customHeight="1">
      <x:c r="A32" s="57" t="n">
        <x:v>28</x:v>
      </x:c>
      <x:c r="B32" s="30" t="str">
        <x:v>Проработка переноса файлов, PDF, вложений и интеграции доставки Venipak</x:v>
      </x:c>
      <x:c r="C32" s="63" t="n">
        <x:v>20</x:v>
      </x:c>
      <x:c r="D32" s="64" t="str">
        <x:v>20 мин</x:v>
      </x:c>
      <x:c r="E32" s="65" t="n">
        <x:v>16.75</x:v>
      </x:c>
      <x:c r="F32" s="66" t="n">
        <x:v>5.58</x:v>
      </x:c>
    </x:row>
    <x:row r="33" ht="15" hidden="0" customHeight="1">
      <x:c r="A33" s="57" t="n">
        <x:v>29</x:v>
      </x:c>
      <x:c r="B33" s="30" t="str">
        <x:v>Систематизация технических решений</x:v>
      </x:c>
      <x:c r="C33" s="63" t="n">
        <x:v>31</x:v>
      </x:c>
      <x:c r="D33" s="64" t="str">
        <x:v>31 мин</x:v>
      </x:c>
      <x:c r="E33" s="65" t="n">
        <x:v>16.75</x:v>
      </x:c>
      <x:c r="F33" s="66" t="n">
        <x:v>8.65</x:v>
      </x:c>
    </x:row>
    <x:row r="34" ht="26.399999618530273" hidden="0" customHeight="1">
      <x:c r="A34" s="57" t="n">
        <x:v>30</x:v>
      </x:c>
      <x:c r="B34" s="30" t="str">
        <x:v>Техническая подготовка и проектирование миграции VIAR: Laravel 6 → Laravel 13, Voyager → Filament 5 с сохранением production, заказов, переводов и интеграций</x:v>
      </x:c>
      <x:c r="C34" s="63" t="n">
        <x:v>137</x:v>
      </x:c>
      <x:c r="D34" s="64" t="str">
        <x:v>2 ч 17 мин</x:v>
      </x:c>
      <x:c r="E34" s="65" t="n">
        <x:v>16.75</x:v>
      </x:c>
      <x:c r="F34" s="66" t="n">
        <x:v>38.25</x:v>
      </x:c>
    </x:row>
    <x:row r="35" ht="15" hidden="0" customHeight="1">
      <x:c r="A35" s="58" t="n">
        <x:v>31</x:v>
      </x:c>
      <x:c r="B35" s="31" t="str">
        <x:v>Фиксация зависимостей, версий, frontend-assets и условий начала миграции</x:v>
      </x:c>
      <x:c r="C35" s="67" t="n">
        <x:v>20</x:v>
      </x:c>
      <x:c r="D35" s="68" t="str">
        <x:v>20 мин</x:v>
      </x:c>
      <x:c r="E35" s="69" t="n">
        <x:v>16.75</x:v>
      </x:c>
      <x:c r="F35" s="70" t="n">
        <x:v>5.58</x:v>
      </x:c>
    </x:row>
    <x:row r="36" ht="15" hidden="0" customHeight="1">
      <x:c r="A36" s="113" t="str">
        <x:v>ИТОГО</x:v>
      </x:c>
      <x:c r="B36" s="113" t="n">
        <x:f>COUNTA(B5:B35)</x:f>
        <x:v>31</x:v>
      </x:c>
      <x:c r="C36" s="113" t="n">
        <x:f>SUM(C5:C35)</x:f>
        <x:v>1216</x:v>
      </x:c>
      <x:c r="D36" s="114" t="n">
        <x:f>C36/60</x:f>
        <x:v>20.266666666666666</x:v>
      </x:c>
      <x:c r="E36" s="113"/>
      <x:c r="F36" s="115" t="n">
        <x:f>SUM(F5:F35)</x:f>
        <x:v>339.4599999999999</x:v>
      </x:c>
    </x:row>
  </x:sheetData>
  <x:mergeCells>
    <x:mergeCell ref="A1:F1"/>
    <x:mergeCell ref="A2:D2"/>
    <x:mergeCell ref="E2:F2"/>
  </x:mergeCells>
  <x:pageMargins left="0.7" right="0.7" top="0.75" bottom="0.75" header="0.3" footer="0.3"/>
</x:worksheet>
</file>